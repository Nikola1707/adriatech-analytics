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hidePivotFieldList="1"/>
  <mc:AlternateContent xmlns:mc="http://schemas.openxmlformats.org/markup-compatibility/2006">
    <mc:Choice Requires="x15">
      <x15ac:absPath xmlns:x15ac="http://schemas.microsoft.com/office/spreadsheetml/2010/11/ac" url="C:\Users\nikiz\Desktop\Data analiza projekt za github\"/>
    </mc:Choice>
  </mc:AlternateContent>
  <xr:revisionPtr revIDLastSave="0" documentId="13_ncr:1_{87C4B210-E928-4E2E-B5A4-DEC5C852AFDB}" xr6:coauthVersionLast="47" xr6:coauthVersionMax="47" xr10:uidLastSave="{00000000-0000-0000-0000-000000000000}"/>
  <bookViews>
    <workbookView xWindow="28680" yWindow="1575" windowWidth="29040" windowHeight="15720" xr2:uid="{00000000-000D-0000-FFFF-FFFF00000000}"/>
  </bookViews>
  <sheets>
    <sheet name="README" sheetId="6" r:id="rId1"/>
    <sheet name="Dashboard" sheetId="5" r:id="rId2"/>
    <sheet name="Data" sheetId="1" r:id="rId3"/>
    <sheet name="Profit by Market &amp; Product" sheetId="2" state="hidden" r:id="rId4"/>
    <sheet name="Units sold each month" sheetId="3" state="hidden" r:id="rId5"/>
    <sheet name="Profit by month" sheetId="4" state="hidden" r:id="rId6"/>
  </sheets>
  <definedNames>
    <definedName name="NativeTimeline_Date">#N/A</definedName>
    <definedName name="Slicer_Country">#N/A</definedName>
    <definedName name="Slicer_Product">#N/A</definedName>
  </definedNames>
  <calcPr calcId="124519"/>
  <pivotCaches>
    <pivotCache cacheId="4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sharedStrings.xml><?xml version="1.0" encoding="utf-8"?>
<sst xmlns="http://schemas.openxmlformats.org/spreadsheetml/2006/main" count="166" uniqueCount="73">
  <si>
    <t>OrderID</t>
  </si>
  <si>
    <t>Customer</t>
  </si>
  <si>
    <t>Country</t>
  </si>
  <si>
    <t>Product</t>
  </si>
  <si>
    <t>Category</t>
  </si>
  <si>
    <t>Units Sold</t>
  </si>
  <si>
    <t>Revenue (€)</t>
  </si>
  <si>
    <t>Cost (€)</t>
  </si>
  <si>
    <t>Profit (€)</t>
  </si>
  <si>
    <t>Alpha Trade</t>
  </si>
  <si>
    <t>Gamma Retail</t>
  </si>
  <si>
    <t>Beta Logistika</t>
  </si>
  <si>
    <t>Delta Solutions</t>
  </si>
  <si>
    <t>Sigma Corp</t>
  </si>
  <si>
    <t>Epsilon Tech</t>
  </si>
  <si>
    <t>Zeta Systems</t>
  </si>
  <si>
    <t>Eta Services</t>
  </si>
  <si>
    <t>Theta Retail</t>
  </si>
  <si>
    <t>Iota Enterprise</t>
  </si>
  <si>
    <t>HR</t>
  </si>
  <si>
    <t>SI</t>
  </si>
  <si>
    <t>Laptop Pro 14</t>
  </si>
  <si>
    <t>IT Support paket</t>
  </si>
  <si>
    <t>Monitor 27”</t>
  </si>
  <si>
    <t>CRM Licenca</t>
  </si>
  <si>
    <t>ERP Licenca</t>
  </si>
  <si>
    <t>Cloud Storage 1TB</t>
  </si>
  <si>
    <t>Antivirus Enterprise</t>
  </si>
  <si>
    <t>Laptop Basic 15</t>
  </si>
  <si>
    <t>Printer Office 20</t>
  </si>
  <si>
    <t>IT Training Paket</t>
  </si>
  <si>
    <t>Hardware</t>
  </si>
  <si>
    <t>Service</t>
  </si>
  <si>
    <t>Software</t>
  </si>
  <si>
    <t>AUS</t>
  </si>
  <si>
    <t>UK</t>
  </si>
  <si>
    <t>BIH</t>
  </si>
  <si>
    <t>Row Labels</t>
  </si>
  <si>
    <t>Grand Total</t>
  </si>
  <si>
    <t>Column Labels</t>
  </si>
  <si>
    <t>Sum of Profit (€)</t>
  </si>
  <si>
    <t>Month</t>
  </si>
  <si>
    <t>JAN</t>
  </si>
  <si>
    <t>FEB</t>
  </si>
  <si>
    <t>MAR</t>
  </si>
  <si>
    <t>MAY</t>
  </si>
  <si>
    <t>JUL</t>
  </si>
  <si>
    <t xml:space="preserve">JUN </t>
  </si>
  <si>
    <t>AUG</t>
  </si>
  <si>
    <t>SEP</t>
  </si>
  <si>
    <t>OCT</t>
  </si>
  <si>
    <t>NOV</t>
  </si>
  <si>
    <t>Jan</t>
  </si>
  <si>
    <t>Feb</t>
  </si>
  <si>
    <t>Mar</t>
  </si>
  <si>
    <t>May</t>
  </si>
  <si>
    <t>Jun</t>
  </si>
  <si>
    <t>Jul</t>
  </si>
  <si>
    <t>Aug</t>
  </si>
  <si>
    <t>Sep</t>
  </si>
  <si>
    <t>Oct</t>
  </si>
  <si>
    <t>Nov</t>
  </si>
  <si>
    <t>Sum of Units Sold</t>
  </si>
  <si>
    <t>Date</t>
  </si>
  <si>
    <t>Fokus ovog projekta : Analiza prodaje i izrada interaktivnog dashboarda</t>
  </si>
  <si>
    <t>AdriaTech d.o.o. je fiktivna IT firma kao i sami podaci</t>
  </si>
  <si>
    <t>Dashboard – grafički prikaz ključnih metrika</t>
  </si>
  <si>
    <t>Data – izvorni poslovni podaci</t>
  </si>
  <si>
    <t>Koristene tehnologije:</t>
  </si>
  <si>
    <t>Pivot tablice</t>
  </si>
  <si>
    <t>Grafovi i vizualizacije</t>
  </si>
  <si>
    <t>Osnovne Analiticke metode</t>
  </si>
  <si>
    <t>AdriaTech Analytics je analitički projekt izrađen u Excelu čiji je cilj analiza poslovnih podataka fiktivne tvrtke AdriaTech. Projekt demonstrira sposobnost rada s podacima, njihovu obradu, analizu i vizualizaciju kroz jasno strukturirane tablice i grafikone.
Projekt je zamišljen kao portfolio primjer za data/analytics pozicije.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</si>
</sst>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_([$€-2]\ * #,##0.00_);_([$€-2]\ * \(#,##0.00\);_([$€-2]\ * &quot;-&quot;??_);_(@_)"/>
  </numFmts>
  <fonts count="6" x14ac:knownFonts="1">
    <font>
      <sz val="11"/>
      <color theme="1"/>
      <name val="Century Gothic"/>
      <family val="2"/>
      <scheme val="minor"/>
    </font>
    <font>
      <b/>
      <sz val="11"/>
      <color theme="1"/>
      <name val="Arial"/>
      <family val="2"/>
    </font>
    <font>
      <sz val="11"/>
      <color theme="1"/>
      <name val="Arial"/>
      <family val="2"/>
    </font>
    <font>
      <sz val="8"/>
      <name val="Century Gothic"/>
      <family val="2"/>
      <scheme val="minor"/>
    </font>
    <font>
      <u/>
      <sz val="11"/>
      <color theme="1"/>
      <name val="Arial"/>
      <family val="2"/>
    </font>
    <font>
      <u/>
      <sz val="11"/>
      <color theme="4"/>
      <name val="Arial"/>
      <family val="2"/>
    </font>
  </fonts>
  <fills count="5">
    <fill>
      <patternFill patternType="none"/>
    </fill>
    <fill>
      <patternFill patternType="gray125"/>
    </fill>
    <fill>
      <patternFill patternType="solid">
        <fgColor theme="4" tint="0.79998168889431442"/>
        <bgColor indexed="64"/>
      </patternFill>
    </fill>
    <fill>
      <patternFill patternType="solid">
        <fgColor rgb="FFC00000"/>
        <bgColor indexed="64"/>
      </patternFill>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6">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1" fillId="0" borderId="1" xfId="0" applyFont="1" applyBorder="1" applyAlignment="1">
      <alignment horizontal="center" vertical="top"/>
    </xf>
    <xf numFmtId="0" fontId="1" fillId="3" borderId="1" xfId="0" applyFont="1" applyFill="1" applyBorder="1" applyAlignment="1">
      <alignment horizontal="center" vertical="top"/>
    </xf>
    <xf numFmtId="0" fontId="2" fillId="0" borderId="0" xfId="0" applyFont="1"/>
    <xf numFmtId="165" fontId="2" fillId="0" borderId="0" xfId="0" applyNumberFormat="1" applyFont="1"/>
    <xf numFmtId="165" fontId="2" fillId="2" borderId="0" xfId="0" applyNumberFormat="1" applyFont="1" applyFill="1"/>
    <xf numFmtId="164" fontId="2" fillId="0" borderId="0" xfId="0" applyNumberFormat="1" applyFont="1"/>
    <xf numFmtId="14" fontId="2" fillId="0" borderId="0" xfId="0" applyNumberFormat="1" applyFont="1"/>
    <xf numFmtId="0" fontId="2" fillId="0" borderId="0" xfId="0" applyFont="1" applyAlignment="1">
      <alignment wrapText="1"/>
    </xf>
    <xf numFmtId="0" fontId="4" fillId="4" borderId="0" xfId="0" applyFont="1" applyFill="1"/>
    <xf numFmtId="0" fontId="5" fillId="0" borderId="0" xfId="0" applyFont="1"/>
  </cellXfs>
  <cellStyles count="1">
    <cellStyle name="Normal" xfId="0" builtinId="0"/>
  </cellStyles>
  <dxfs count="17">
    <dxf>
      <font>
        <strike val="0"/>
        <outline val="0"/>
        <shadow val="0"/>
        <u val="none"/>
        <vertAlign val="baseline"/>
        <sz val="11"/>
        <color theme="1"/>
        <name val="Arial"/>
        <family val="2"/>
        <scheme val="none"/>
      </font>
    </dxf>
    <dxf>
      <font>
        <b/>
        <i val="0"/>
        <strike val="0"/>
        <condense val="0"/>
        <extend val="0"/>
        <outline val="0"/>
        <shadow val="0"/>
        <u val="none"/>
        <vertAlign val="baseline"/>
        <sz val="11"/>
        <color theme="1"/>
        <name val="Arial"/>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Arial"/>
        <family val="2"/>
        <scheme val="none"/>
      </font>
      <numFmt numFmtId="19" formatCode="m/d/yyyy"/>
    </dxf>
    <dxf>
      <font>
        <strike val="0"/>
        <outline val="0"/>
        <shadow val="0"/>
        <u val="none"/>
        <vertAlign val="baseline"/>
        <sz val="11"/>
        <color theme="1"/>
        <name val="Arial"/>
        <family val="2"/>
        <scheme val="none"/>
      </font>
      <numFmt numFmtId="164" formatCode="m/d/yy;@"/>
    </dxf>
    <dxf>
      <font>
        <strike val="0"/>
        <outline val="0"/>
        <shadow val="0"/>
        <u val="none"/>
        <vertAlign val="baseline"/>
        <sz val="11"/>
        <color theme="1"/>
        <name val="Arial"/>
        <family val="2"/>
        <scheme val="none"/>
      </font>
      <numFmt numFmtId="165" formatCode="_([$€-2]\ * #,##0.00_);_([$€-2]\ * \(#,##0.00\);_([$€-2]\ * &quot;-&quot;??_);_(@_)"/>
      <fill>
        <patternFill patternType="solid">
          <fgColor indexed="64"/>
          <bgColor theme="4" tint="0.79998168889431442"/>
        </patternFill>
      </fill>
    </dxf>
    <dxf>
      <font>
        <strike val="0"/>
        <outline val="0"/>
        <shadow val="0"/>
        <u val="none"/>
        <vertAlign val="baseline"/>
        <sz val="11"/>
        <color theme="1"/>
        <name val="Arial"/>
        <family val="2"/>
        <scheme val="none"/>
      </font>
      <numFmt numFmtId="165" formatCode="_([$€-2]\ * #,##0.00_);_([$€-2]\ * \(#,##0.00\);_([$€-2]\ * &quot;-&quot;??_);_(@_)"/>
    </dxf>
    <dxf>
      <font>
        <strike val="0"/>
        <outline val="0"/>
        <shadow val="0"/>
        <u val="none"/>
        <vertAlign val="baseline"/>
        <sz val="11"/>
        <color theme="1"/>
        <name val="Arial"/>
        <family val="2"/>
        <scheme val="none"/>
      </font>
      <numFmt numFmtId="165" formatCode="_([$€-2]\ * #,##0.00_);_([$€-2]\ * \(#,##0.00\);_([$€-2]\ * &quot;-&quot;??_);_(@_)"/>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numFmt numFmtId="165" formatCode="_([$€-2]\ * #,##0.00_);_([$€-2]\ * \(#,##0.00\);_([$€-2]\ * &quot;-&quot;??_);_(@_)"/>
    </dxf>
    <dxf>
      <numFmt numFmtId="165" formatCode="_([$€-2]\ * #,##0.00_);_([$€-2]\ * \(#,##0.00\);_([$€-2]\ * &quot;-&quot;??_);_(@_)"/>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[AdriaTech_Analytics pravoo.xlsx]Profit by Market &amp; Product!PivotTable1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r-HR"/>
              <a:t>Profit</a:t>
            </a:r>
            <a:r>
              <a:rPr lang="hr-HR" baseline="0"/>
              <a:t> by Market &amp;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Market &amp; Product'!$B$3:$B$4</c:f>
              <c:strCache>
                <c:ptCount val="1"/>
                <c:pt idx="0">
                  <c:v>Antivirus Enterprise</c:v>
                </c:pt>
              </c:strCache>
            </c:strRef>
          </c:tx>
          <c:spPr>
            <a:solidFill>
              <a:schemeClr val="accent1"/>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Product'!$B$5:$B$10</c:f>
              <c:numCache>
                <c:formatCode>_([$€-2]\ * #,##0.00_);_([$€-2]\ * \(#,##0.00\);_([$€-2]\ * "-"??_);_(@_)</c:formatCode>
                <c:ptCount val="5"/>
                <c:pt idx="1">
                  <c:v>1500</c:v>
                </c:pt>
                <c:pt idx="2">
                  <c:v>600</c:v>
                </c:pt>
              </c:numCache>
            </c:numRef>
          </c:val>
          <c:extLst>
            <c:ext xmlns:c16="http://schemas.microsoft.com/office/drawing/2014/chart" uri="{C3380CC4-5D6E-409C-BE32-E72D297353CC}">
              <c16:uniqueId val="{00000000-5FD0-4435-9F86-8B201A1ECD0F}"/>
            </c:ext>
          </c:extLst>
        </c:ser>
        <c:ser>
          <c:idx val="1"/>
          <c:order val="1"/>
          <c:tx>
            <c:strRef>
              <c:f>'Profit by Market &amp; Product'!$C$3:$C$4</c:f>
              <c:strCache>
                <c:ptCount val="1"/>
                <c:pt idx="0">
                  <c:v>Cloud Storage 1TB</c:v>
                </c:pt>
              </c:strCache>
            </c:strRef>
          </c:tx>
          <c:spPr>
            <a:solidFill>
              <a:schemeClr val="accent2"/>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Product'!$C$5:$C$10</c:f>
              <c:numCache>
                <c:formatCode>_([$€-2]\ * #,##0.00_);_([$€-2]\ * \(#,##0.00\);_([$€-2]\ * "-"??_);_(@_)</c:formatCode>
                <c:ptCount val="5"/>
                <c:pt idx="3">
                  <c:v>300</c:v>
                </c:pt>
                <c:pt idx="4">
                  <c:v>400</c:v>
                </c:pt>
              </c:numCache>
            </c:numRef>
          </c:val>
          <c:extLst>
            <c:ext xmlns:c16="http://schemas.microsoft.com/office/drawing/2014/chart" uri="{C3380CC4-5D6E-409C-BE32-E72D297353CC}">
              <c16:uniqueId val="{0000002B-5FD0-4435-9F86-8B201A1ECD0F}"/>
            </c:ext>
          </c:extLst>
        </c:ser>
        <c:ser>
          <c:idx val="2"/>
          <c:order val="2"/>
          <c:tx>
            <c:strRef>
              <c:f>'Profit by Market &amp; Product'!$D$3:$D$4</c:f>
              <c:strCache>
                <c:ptCount val="1"/>
                <c:pt idx="0">
                  <c:v>CRM Licenca</c:v>
                </c:pt>
              </c:strCache>
            </c:strRef>
          </c:tx>
          <c:spPr>
            <a:solidFill>
              <a:schemeClr val="accent3"/>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Product'!$D$5:$D$10</c:f>
              <c:numCache>
                <c:formatCode>_([$€-2]\ * #,##0.00_);_([$€-2]\ * \(#,##0.00\);_([$€-2]\ * "-"??_);_(@_)</c:formatCode>
                <c:ptCount val="5"/>
                <c:pt idx="0">
                  <c:v>2800</c:v>
                </c:pt>
                <c:pt idx="1">
                  <c:v>4200</c:v>
                </c:pt>
              </c:numCache>
            </c:numRef>
          </c:val>
          <c:extLst>
            <c:ext xmlns:c16="http://schemas.microsoft.com/office/drawing/2014/chart" uri="{C3380CC4-5D6E-409C-BE32-E72D297353CC}">
              <c16:uniqueId val="{0000002C-5FD0-4435-9F86-8B201A1ECD0F}"/>
            </c:ext>
          </c:extLst>
        </c:ser>
        <c:ser>
          <c:idx val="3"/>
          <c:order val="3"/>
          <c:tx>
            <c:strRef>
              <c:f>'Profit by Market &amp; Product'!$E$3:$E$4</c:f>
              <c:strCache>
                <c:ptCount val="1"/>
                <c:pt idx="0">
                  <c:v>ERP Licenca</c:v>
                </c:pt>
              </c:strCache>
            </c:strRef>
          </c:tx>
          <c:spPr>
            <a:solidFill>
              <a:schemeClr val="accent4"/>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Product'!$E$5:$E$10</c:f>
              <c:numCache>
                <c:formatCode>_([$€-2]\ * #,##0.00_);_([$€-2]\ * \(#,##0.00\);_([$€-2]\ * "-"??_);_(@_)</c:formatCode>
                <c:ptCount val="5"/>
                <c:pt idx="0">
                  <c:v>5700</c:v>
                </c:pt>
              </c:numCache>
            </c:numRef>
          </c:val>
          <c:extLst>
            <c:ext xmlns:c16="http://schemas.microsoft.com/office/drawing/2014/chart" uri="{C3380CC4-5D6E-409C-BE32-E72D297353CC}">
              <c16:uniqueId val="{00000033-5FD0-4435-9F86-8B201A1ECD0F}"/>
            </c:ext>
          </c:extLst>
        </c:ser>
        <c:ser>
          <c:idx val="4"/>
          <c:order val="4"/>
          <c:tx>
            <c:strRef>
              <c:f>'Profit by Market &amp; Product'!$F$3:$F$4</c:f>
              <c:strCache>
                <c:ptCount val="1"/>
                <c:pt idx="0">
                  <c:v>IT Support paket</c:v>
                </c:pt>
              </c:strCache>
            </c:strRef>
          </c:tx>
          <c:spPr>
            <a:solidFill>
              <a:schemeClr val="accent5"/>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Product'!$F$5:$F$10</c:f>
              <c:numCache>
                <c:formatCode>_([$€-2]\ * #,##0.00_);_([$€-2]\ * \(#,##0.00\);_([$€-2]\ * "-"??_);_(@_)</c:formatCode>
                <c:ptCount val="5"/>
                <c:pt idx="0">
                  <c:v>600</c:v>
                </c:pt>
                <c:pt idx="1">
                  <c:v>1800</c:v>
                </c:pt>
              </c:numCache>
            </c:numRef>
          </c:val>
          <c:extLst>
            <c:ext xmlns:c16="http://schemas.microsoft.com/office/drawing/2014/chart" uri="{C3380CC4-5D6E-409C-BE32-E72D297353CC}">
              <c16:uniqueId val="{00000034-5FD0-4435-9F86-8B201A1ECD0F}"/>
            </c:ext>
          </c:extLst>
        </c:ser>
        <c:ser>
          <c:idx val="5"/>
          <c:order val="5"/>
          <c:tx>
            <c:strRef>
              <c:f>'Profit by Market &amp; Product'!$G$3:$G$4</c:f>
              <c:strCache>
                <c:ptCount val="1"/>
                <c:pt idx="0">
                  <c:v>IT Training Paket</c:v>
                </c:pt>
              </c:strCache>
            </c:strRef>
          </c:tx>
          <c:spPr>
            <a:solidFill>
              <a:schemeClr val="accent6"/>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Product'!$G$5:$G$10</c:f>
              <c:numCache>
                <c:formatCode>_([$€-2]\ * #,##0.00_);_([$€-2]\ * \(#,##0.00\);_([$€-2]\ * "-"??_);_(@_)</c:formatCode>
                <c:ptCount val="5"/>
                <c:pt idx="2">
                  <c:v>300</c:v>
                </c:pt>
              </c:numCache>
            </c:numRef>
          </c:val>
          <c:extLst>
            <c:ext xmlns:c16="http://schemas.microsoft.com/office/drawing/2014/chart" uri="{C3380CC4-5D6E-409C-BE32-E72D297353CC}">
              <c16:uniqueId val="{00000035-5FD0-4435-9F86-8B201A1ECD0F}"/>
            </c:ext>
          </c:extLst>
        </c:ser>
        <c:ser>
          <c:idx val="6"/>
          <c:order val="6"/>
          <c:tx>
            <c:strRef>
              <c:f>'Profit by Market &amp; Product'!$H$3:$H$4</c:f>
              <c:strCache>
                <c:ptCount val="1"/>
                <c:pt idx="0">
                  <c:v>Laptop Basic 15</c:v>
                </c:pt>
              </c:strCache>
            </c:strRef>
          </c:tx>
          <c:spPr>
            <a:solidFill>
              <a:schemeClr val="accent1">
                <a:lumMod val="60000"/>
              </a:schemeClr>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Product'!$H$5:$H$10</c:f>
              <c:numCache>
                <c:formatCode>_([$€-2]\ * #,##0.00_);_([$€-2]\ * \(#,##0.00\);_([$€-2]\ * "-"??_);_(@_)</c:formatCode>
                <c:ptCount val="5"/>
                <c:pt idx="3">
                  <c:v>1320</c:v>
                </c:pt>
              </c:numCache>
            </c:numRef>
          </c:val>
          <c:extLst>
            <c:ext xmlns:c16="http://schemas.microsoft.com/office/drawing/2014/chart" uri="{C3380CC4-5D6E-409C-BE32-E72D297353CC}">
              <c16:uniqueId val="{00000036-5FD0-4435-9F86-8B201A1ECD0F}"/>
            </c:ext>
          </c:extLst>
        </c:ser>
        <c:ser>
          <c:idx val="7"/>
          <c:order val="7"/>
          <c:tx>
            <c:strRef>
              <c:f>'Profit by Market &amp; Product'!$I$3:$I$4</c:f>
              <c:strCache>
                <c:ptCount val="1"/>
                <c:pt idx="0">
                  <c:v>Laptop Pro 14</c:v>
                </c:pt>
              </c:strCache>
            </c:strRef>
          </c:tx>
          <c:spPr>
            <a:solidFill>
              <a:schemeClr val="accent2">
                <a:lumMod val="60000"/>
              </a:schemeClr>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Product'!$I$5:$I$10</c:f>
              <c:numCache>
                <c:formatCode>_([$€-2]\ * #,##0.00_);_([$€-2]\ * \(#,##0.00\);_([$€-2]\ * "-"??_);_(@_)</c:formatCode>
                <c:ptCount val="5"/>
                <c:pt idx="0">
                  <c:v>1350</c:v>
                </c:pt>
                <c:pt idx="1">
                  <c:v>900</c:v>
                </c:pt>
                <c:pt idx="2">
                  <c:v>1350</c:v>
                </c:pt>
                <c:pt idx="3">
                  <c:v>450</c:v>
                </c:pt>
              </c:numCache>
            </c:numRef>
          </c:val>
          <c:extLst>
            <c:ext xmlns:c16="http://schemas.microsoft.com/office/drawing/2014/chart" uri="{C3380CC4-5D6E-409C-BE32-E72D297353CC}">
              <c16:uniqueId val="{00000037-5FD0-4435-9F86-8B201A1ECD0F}"/>
            </c:ext>
          </c:extLst>
        </c:ser>
        <c:ser>
          <c:idx val="8"/>
          <c:order val="8"/>
          <c:tx>
            <c:strRef>
              <c:f>'Profit by Market &amp; Product'!$J$3:$J$4</c:f>
              <c:strCache>
                <c:ptCount val="1"/>
                <c:pt idx="0">
                  <c:v>Monitor 27”</c:v>
                </c:pt>
              </c:strCache>
            </c:strRef>
          </c:tx>
          <c:spPr>
            <a:solidFill>
              <a:schemeClr val="accent3">
                <a:lumMod val="60000"/>
              </a:schemeClr>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Product'!$J$5:$J$10</c:f>
              <c:numCache>
                <c:formatCode>_([$€-2]\ * #,##0.00_);_([$€-2]\ * \(#,##0.00\);_([$€-2]\ * "-"??_);_(@_)</c:formatCode>
                <c:ptCount val="5"/>
                <c:pt idx="1">
                  <c:v>240</c:v>
                </c:pt>
                <c:pt idx="4">
                  <c:v>600</c:v>
                </c:pt>
              </c:numCache>
            </c:numRef>
          </c:val>
          <c:extLst>
            <c:ext xmlns:c16="http://schemas.microsoft.com/office/drawing/2014/chart" uri="{C3380CC4-5D6E-409C-BE32-E72D297353CC}">
              <c16:uniqueId val="{00000038-5FD0-4435-9F86-8B201A1ECD0F}"/>
            </c:ext>
          </c:extLst>
        </c:ser>
        <c:ser>
          <c:idx val="9"/>
          <c:order val="9"/>
          <c:tx>
            <c:strRef>
              <c:f>'Profit by Market &amp; Product'!$K$3:$K$4</c:f>
              <c:strCache>
                <c:ptCount val="1"/>
                <c:pt idx="0">
                  <c:v>Printer Office 20</c:v>
                </c:pt>
              </c:strCache>
            </c:strRef>
          </c:tx>
          <c:spPr>
            <a:solidFill>
              <a:schemeClr val="accent4">
                <a:lumMod val="60000"/>
              </a:schemeClr>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Product'!$K$5:$K$10</c:f>
              <c:numCache>
                <c:formatCode>_([$€-2]\ * #,##0.00_);_([$€-2]\ * \(#,##0.00\);_([$€-2]\ * "-"??_);_(@_)</c:formatCode>
                <c:ptCount val="5"/>
                <c:pt idx="0">
                  <c:v>160</c:v>
                </c:pt>
              </c:numCache>
            </c:numRef>
          </c:val>
          <c:extLst>
            <c:ext xmlns:c16="http://schemas.microsoft.com/office/drawing/2014/chart" uri="{C3380CC4-5D6E-409C-BE32-E72D297353CC}">
              <c16:uniqueId val="{00000039-5FD0-4435-9F86-8B201A1ECD0F}"/>
            </c:ext>
          </c:extLst>
        </c:ser>
        <c:dLbls>
          <c:showLegendKey val="0"/>
          <c:showVal val="0"/>
          <c:showCatName val="0"/>
          <c:showSerName val="0"/>
          <c:showPercent val="0"/>
          <c:showBubbleSize val="0"/>
        </c:dLbls>
        <c:gapWidth val="150"/>
        <c:overlap val="100"/>
        <c:axId val="132888944"/>
        <c:axId val="132891344"/>
      </c:barChart>
      <c:catAx>
        <c:axId val="13288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91344"/>
        <c:crosses val="autoZero"/>
        <c:auto val="1"/>
        <c:lblAlgn val="ctr"/>
        <c:lblOffset val="100"/>
        <c:noMultiLvlLbl val="0"/>
      </c:catAx>
      <c:valAx>
        <c:axId val="132891344"/>
        <c:scaling>
          <c:orientation val="minMax"/>
        </c:scaling>
        <c:delete val="0"/>
        <c:axPos val="l"/>
        <c:majorGridlines>
          <c:spPr>
            <a:ln w="9525" cap="flat" cmpd="sng" algn="ctr">
              <a:solidFill>
                <a:schemeClr val="tx1">
                  <a:lumMod val="15000"/>
                  <a:lumOff val="8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[AdriaTech_Analytics pravoo.xlsx]Units sold each month!PivotTable1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r-HR"/>
              <a:t>Units</a:t>
            </a:r>
            <a:r>
              <a:rPr lang="hr-HR"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month'!$A$4:$A$14</c:f>
              <c:strCache>
                <c:ptCount val="10"/>
                <c:pt idx="0">
                  <c:v>Jan</c:v>
                </c:pt>
                <c:pt idx="1">
                  <c:v>Feb</c:v>
                </c:pt>
                <c:pt idx="2">
                  <c:v>Mar</c:v>
                </c:pt>
                <c:pt idx="3">
                  <c:v>May</c:v>
                </c:pt>
                <c:pt idx="4">
                  <c:v>Jun</c:v>
                </c:pt>
                <c:pt idx="5">
                  <c:v>Jul</c:v>
                </c:pt>
                <c:pt idx="6">
                  <c:v>Aug</c:v>
                </c:pt>
                <c:pt idx="7">
                  <c:v>Sep</c:v>
                </c:pt>
                <c:pt idx="8">
                  <c:v>Oct</c:v>
                </c:pt>
                <c:pt idx="9">
                  <c:v>Nov</c:v>
                </c:pt>
              </c:strCache>
            </c:strRef>
          </c:cat>
          <c:val>
            <c:numRef>
              <c:f>'Units sold each month'!$B$4:$B$14</c:f>
              <c:numCache>
                <c:formatCode>General</c:formatCode>
                <c:ptCount val="10"/>
                <c:pt idx="0">
                  <c:v>4</c:v>
                </c:pt>
                <c:pt idx="1">
                  <c:v>7</c:v>
                </c:pt>
                <c:pt idx="2">
                  <c:v>5</c:v>
                </c:pt>
                <c:pt idx="3">
                  <c:v>4</c:v>
                </c:pt>
                <c:pt idx="4">
                  <c:v>8</c:v>
                </c:pt>
                <c:pt idx="5">
                  <c:v>7</c:v>
                </c:pt>
                <c:pt idx="6">
                  <c:v>3</c:v>
                </c:pt>
                <c:pt idx="7">
                  <c:v>3</c:v>
                </c:pt>
                <c:pt idx="8">
                  <c:v>3</c:v>
                </c:pt>
                <c:pt idx="9">
                  <c:v>5</c:v>
                </c:pt>
              </c:numCache>
            </c:numRef>
          </c:val>
          <c:smooth val="0"/>
          <c:extLst>
            <c:ext xmlns:c16="http://schemas.microsoft.com/office/drawing/2014/chart" uri="{C3380CC4-5D6E-409C-BE32-E72D297353CC}">
              <c16:uniqueId val="{00000000-462D-4D62-94F9-A649C0D8A7E8}"/>
            </c:ext>
          </c:extLst>
        </c:ser>
        <c:dLbls>
          <c:showLegendKey val="0"/>
          <c:showVal val="0"/>
          <c:showCatName val="0"/>
          <c:showSerName val="0"/>
          <c:showPercent val="0"/>
          <c:showBubbleSize val="0"/>
        </c:dLbls>
        <c:smooth val="0"/>
        <c:axId val="63616064"/>
        <c:axId val="63616544"/>
      </c:lineChart>
      <c:catAx>
        <c:axId val="6361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16544"/>
        <c:crosses val="autoZero"/>
        <c:auto val="1"/>
        <c:lblAlgn val="ctr"/>
        <c:lblOffset val="100"/>
        <c:noMultiLvlLbl val="0"/>
      </c:catAx>
      <c:valAx>
        <c:axId val="6361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1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[AdriaTech_Analytics pravoo.xlsx]Profit by month!PivotTable1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r-HR"/>
              <a:t>Profit</a:t>
            </a:r>
            <a:r>
              <a:rPr lang="hr-HR"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month'!$A$4:$A$14</c:f>
              <c:strCache>
                <c:ptCount val="10"/>
                <c:pt idx="0">
                  <c:v>Jan</c:v>
                </c:pt>
                <c:pt idx="1">
                  <c:v>Feb</c:v>
                </c:pt>
                <c:pt idx="2">
                  <c:v>Mar</c:v>
                </c:pt>
                <c:pt idx="3">
                  <c:v>May</c:v>
                </c:pt>
                <c:pt idx="4">
                  <c:v>Jun</c:v>
                </c:pt>
                <c:pt idx="5">
                  <c:v>Jul</c:v>
                </c:pt>
                <c:pt idx="6">
                  <c:v>Aug</c:v>
                </c:pt>
                <c:pt idx="7">
                  <c:v>Sep</c:v>
                </c:pt>
                <c:pt idx="8">
                  <c:v>Oct</c:v>
                </c:pt>
                <c:pt idx="9">
                  <c:v>Nov</c:v>
                </c:pt>
              </c:strCache>
            </c:strRef>
          </c:cat>
          <c:val>
            <c:numRef>
              <c:f>'Profit by month'!$B$4:$B$14</c:f>
              <c:numCache>
                <c:formatCode>_([$€-2]\ * #,##0.00_);_([$€-2]\ * \(#,##0.00\);_([$€-2]\ * "-"??_);_(@_)</c:formatCode>
                <c:ptCount val="10"/>
                <c:pt idx="0">
                  <c:v>1950</c:v>
                </c:pt>
                <c:pt idx="1">
                  <c:v>3400</c:v>
                </c:pt>
                <c:pt idx="2">
                  <c:v>2300</c:v>
                </c:pt>
                <c:pt idx="3">
                  <c:v>2100</c:v>
                </c:pt>
                <c:pt idx="4">
                  <c:v>5700</c:v>
                </c:pt>
                <c:pt idx="5">
                  <c:v>1620</c:v>
                </c:pt>
                <c:pt idx="6">
                  <c:v>610</c:v>
                </c:pt>
                <c:pt idx="7">
                  <c:v>840</c:v>
                </c:pt>
                <c:pt idx="8">
                  <c:v>4100</c:v>
                </c:pt>
                <c:pt idx="9">
                  <c:v>1950</c:v>
                </c:pt>
              </c:numCache>
            </c:numRef>
          </c:val>
          <c:smooth val="0"/>
          <c:extLst>
            <c:ext xmlns:c16="http://schemas.microsoft.com/office/drawing/2014/chart" uri="{C3380CC4-5D6E-409C-BE32-E72D297353CC}">
              <c16:uniqueId val="{00000000-FE25-44A6-A330-EDAF3279B9B5}"/>
            </c:ext>
          </c:extLst>
        </c:ser>
        <c:dLbls>
          <c:showLegendKey val="0"/>
          <c:showVal val="0"/>
          <c:showCatName val="0"/>
          <c:showSerName val="0"/>
          <c:showPercent val="0"/>
          <c:showBubbleSize val="0"/>
        </c:dLbls>
        <c:smooth val="0"/>
        <c:axId val="1104917280"/>
        <c:axId val="852633792"/>
      </c:lineChart>
      <c:catAx>
        <c:axId val="110491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33792"/>
        <c:crosses val="autoZero"/>
        <c:auto val="1"/>
        <c:lblAlgn val="ctr"/>
        <c:lblOffset val="100"/>
        <c:noMultiLvlLbl val="0"/>
      </c:catAx>
      <c:valAx>
        <c:axId val="852633792"/>
        <c:scaling>
          <c:orientation val="minMax"/>
        </c:scaling>
        <c:delete val="0"/>
        <c:axPos val="l"/>
        <c:majorGridlines>
          <c:spPr>
            <a:ln w="9525" cap="flat" cmpd="sng" algn="ctr">
              <a:solidFill>
                <a:schemeClr val="tx1">
                  <a:lumMod val="15000"/>
                  <a:lumOff val="8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91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[AdriaTech_Analytics pravoo.xlsx]Profit by Market &amp; Product!PivotTable1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r-HR"/>
              <a:t>Profit</a:t>
            </a:r>
            <a:r>
              <a:rPr lang="hr-HR" baseline="0"/>
              <a:t> by Market &amp;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Market &amp; Product'!$B$3:$B$4</c:f>
              <c:strCache>
                <c:ptCount val="1"/>
                <c:pt idx="0">
                  <c:v>Antivirus Enterprise</c:v>
                </c:pt>
              </c:strCache>
            </c:strRef>
          </c:tx>
          <c:spPr>
            <a:solidFill>
              <a:schemeClr val="accent1"/>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Product'!$B$5:$B$10</c:f>
              <c:numCache>
                <c:formatCode>_([$€-2]\ * #,##0.00_);_([$€-2]\ * \(#,##0.00\);_([$€-2]\ * "-"??_);_(@_)</c:formatCode>
                <c:ptCount val="5"/>
                <c:pt idx="1">
                  <c:v>1500</c:v>
                </c:pt>
                <c:pt idx="2">
                  <c:v>600</c:v>
                </c:pt>
              </c:numCache>
            </c:numRef>
          </c:val>
          <c:extLst>
            <c:ext xmlns:c16="http://schemas.microsoft.com/office/drawing/2014/chart" uri="{C3380CC4-5D6E-409C-BE32-E72D297353CC}">
              <c16:uniqueId val="{00000000-F6A6-48E7-B99B-ACBA25FBF8A9}"/>
            </c:ext>
          </c:extLst>
        </c:ser>
        <c:ser>
          <c:idx val="1"/>
          <c:order val="1"/>
          <c:tx>
            <c:strRef>
              <c:f>'Profit by Market &amp; Product'!$C$3:$C$4</c:f>
              <c:strCache>
                <c:ptCount val="1"/>
                <c:pt idx="0">
                  <c:v>Cloud Storage 1TB</c:v>
                </c:pt>
              </c:strCache>
            </c:strRef>
          </c:tx>
          <c:spPr>
            <a:solidFill>
              <a:schemeClr val="accent2"/>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Product'!$C$5:$C$10</c:f>
              <c:numCache>
                <c:formatCode>_([$€-2]\ * #,##0.00_);_([$€-2]\ * \(#,##0.00\);_([$€-2]\ * "-"??_);_(@_)</c:formatCode>
                <c:ptCount val="5"/>
                <c:pt idx="3">
                  <c:v>300</c:v>
                </c:pt>
                <c:pt idx="4">
                  <c:v>400</c:v>
                </c:pt>
              </c:numCache>
            </c:numRef>
          </c:val>
          <c:extLst>
            <c:ext xmlns:c16="http://schemas.microsoft.com/office/drawing/2014/chart" uri="{C3380CC4-5D6E-409C-BE32-E72D297353CC}">
              <c16:uniqueId val="{0000002B-F6A6-48E7-B99B-ACBA25FBF8A9}"/>
            </c:ext>
          </c:extLst>
        </c:ser>
        <c:ser>
          <c:idx val="2"/>
          <c:order val="2"/>
          <c:tx>
            <c:strRef>
              <c:f>'Profit by Market &amp; Product'!$D$3:$D$4</c:f>
              <c:strCache>
                <c:ptCount val="1"/>
                <c:pt idx="0">
                  <c:v>CRM Licenca</c:v>
                </c:pt>
              </c:strCache>
            </c:strRef>
          </c:tx>
          <c:spPr>
            <a:solidFill>
              <a:schemeClr val="accent3"/>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Product'!$D$5:$D$10</c:f>
              <c:numCache>
                <c:formatCode>_([$€-2]\ * #,##0.00_);_([$€-2]\ * \(#,##0.00\);_([$€-2]\ * "-"??_);_(@_)</c:formatCode>
                <c:ptCount val="5"/>
                <c:pt idx="0">
                  <c:v>2800</c:v>
                </c:pt>
                <c:pt idx="1">
                  <c:v>4200</c:v>
                </c:pt>
              </c:numCache>
            </c:numRef>
          </c:val>
          <c:extLst>
            <c:ext xmlns:c16="http://schemas.microsoft.com/office/drawing/2014/chart" uri="{C3380CC4-5D6E-409C-BE32-E72D297353CC}">
              <c16:uniqueId val="{0000002C-F6A6-48E7-B99B-ACBA25FBF8A9}"/>
            </c:ext>
          </c:extLst>
        </c:ser>
        <c:ser>
          <c:idx val="3"/>
          <c:order val="3"/>
          <c:tx>
            <c:strRef>
              <c:f>'Profit by Market &amp; Product'!$E$3:$E$4</c:f>
              <c:strCache>
                <c:ptCount val="1"/>
                <c:pt idx="0">
                  <c:v>ERP Licenca</c:v>
                </c:pt>
              </c:strCache>
            </c:strRef>
          </c:tx>
          <c:spPr>
            <a:solidFill>
              <a:schemeClr val="accent4"/>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Product'!$E$5:$E$10</c:f>
              <c:numCache>
                <c:formatCode>_([$€-2]\ * #,##0.00_);_([$€-2]\ * \(#,##0.00\);_([$€-2]\ * "-"??_);_(@_)</c:formatCode>
                <c:ptCount val="5"/>
                <c:pt idx="0">
                  <c:v>5700</c:v>
                </c:pt>
              </c:numCache>
            </c:numRef>
          </c:val>
          <c:extLst>
            <c:ext xmlns:c16="http://schemas.microsoft.com/office/drawing/2014/chart" uri="{C3380CC4-5D6E-409C-BE32-E72D297353CC}">
              <c16:uniqueId val="{00000033-F6A6-48E7-B99B-ACBA25FBF8A9}"/>
            </c:ext>
          </c:extLst>
        </c:ser>
        <c:ser>
          <c:idx val="4"/>
          <c:order val="4"/>
          <c:tx>
            <c:strRef>
              <c:f>'Profit by Market &amp; Product'!$F$3:$F$4</c:f>
              <c:strCache>
                <c:ptCount val="1"/>
                <c:pt idx="0">
                  <c:v>IT Support paket</c:v>
                </c:pt>
              </c:strCache>
            </c:strRef>
          </c:tx>
          <c:spPr>
            <a:solidFill>
              <a:schemeClr val="accent5"/>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Product'!$F$5:$F$10</c:f>
              <c:numCache>
                <c:formatCode>_([$€-2]\ * #,##0.00_);_([$€-2]\ * \(#,##0.00\);_([$€-2]\ * "-"??_);_(@_)</c:formatCode>
                <c:ptCount val="5"/>
                <c:pt idx="0">
                  <c:v>600</c:v>
                </c:pt>
                <c:pt idx="1">
                  <c:v>1800</c:v>
                </c:pt>
              </c:numCache>
            </c:numRef>
          </c:val>
          <c:extLst>
            <c:ext xmlns:c16="http://schemas.microsoft.com/office/drawing/2014/chart" uri="{C3380CC4-5D6E-409C-BE32-E72D297353CC}">
              <c16:uniqueId val="{00000034-F6A6-48E7-B99B-ACBA25FBF8A9}"/>
            </c:ext>
          </c:extLst>
        </c:ser>
        <c:ser>
          <c:idx val="5"/>
          <c:order val="5"/>
          <c:tx>
            <c:strRef>
              <c:f>'Profit by Market &amp; Product'!$G$3:$G$4</c:f>
              <c:strCache>
                <c:ptCount val="1"/>
                <c:pt idx="0">
                  <c:v>IT Training Paket</c:v>
                </c:pt>
              </c:strCache>
            </c:strRef>
          </c:tx>
          <c:spPr>
            <a:solidFill>
              <a:schemeClr val="accent6"/>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Product'!$G$5:$G$10</c:f>
              <c:numCache>
                <c:formatCode>_([$€-2]\ * #,##0.00_);_([$€-2]\ * \(#,##0.00\);_([$€-2]\ * "-"??_);_(@_)</c:formatCode>
                <c:ptCount val="5"/>
                <c:pt idx="2">
                  <c:v>300</c:v>
                </c:pt>
              </c:numCache>
            </c:numRef>
          </c:val>
          <c:extLst>
            <c:ext xmlns:c16="http://schemas.microsoft.com/office/drawing/2014/chart" uri="{C3380CC4-5D6E-409C-BE32-E72D297353CC}">
              <c16:uniqueId val="{00000035-F6A6-48E7-B99B-ACBA25FBF8A9}"/>
            </c:ext>
          </c:extLst>
        </c:ser>
        <c:ser>
          <c:idx val="6"/>
          <c:order val="6"/>
          <c:tx>
            <c:strRef>
              <c:f>'Profit by Market &amp; Product'!$H$3:$H$4</c:f>
              <c:strCache>
                <c:ptCount val="1"/>
                <c:pt idx="0">
                  <c:v>Laptop Basic 15</c:v>
                </c:pt>
              </c:strCache>
            </c:strRef>
          </c:tx>
          <c:spPr>
            <a:solidFill>
              <a:schemeClr val="accent1">
                <a:lumMod val="60000"/>
              </a:schemeClr>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Product'!$H$5:$H$10</c:f>
              <c:numCache>
                <c:formatCode>_([$€-2]\ * #,##0.00_);_([$€-2]\ * \(#,##0.00\);_([$€-2]\ * "-"??_);_(@_)</c:formatCode>
                <c:ptCount val="5"/>
                <c:pt idx="3">
                  <c:v>1320</c:v>
                </c:pt>
              </c:numCache>
            </c:numRef>
          </c:val>
          <c:extLst>
            <c:ext xmlns:c16="http://schemas.microsoft.com/office/drawing/2014/chart" uri="{C3380CC4-5D6E-409C-BE32-E72D297353CC}">
              <c16:uniqueId val="{00000036-F6A6-48E7-B99B-ACBA25FBF8A9}"/>
            </c:ext>
          </c:extLst>
        </c:ser>
        <c:ser>
          <c:idx val="7"/>
          <c:order val="7"/>
          <c:tx>
            <c:strRef>
              <c:f>'Profit by Market &amp; Product'!$I$3:$I$4</c:f>
              <c:strCache>
                <c:ptCount val="1"/>
                <c:pt idx="0">
                  <c:v>Laptop Pro 14</c:v>
                </c:pt>
              </c:strCache>
            </c:strRef>
          </c:tx>
          <c:spPr>
            <a:solidFill>
              <a:schemeClr val="accent2">
                <a:lumMod val="60000"/>
              </a:schemeClr>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Product'!$I$5:$I$10</c:f>
              <c:numCache>
                <c:formatCode>_([$€-2]\ * #,##0.00_);_([$€-2]\ * \(#,##0.00\);_([$€-2]\ * "-"??_);_(@_)</c:formatCode>
                <c:ptCount val="5"/>
                <c:pt idx="0">
                  <c:v>1350</c:v>
                </c:pt>
                <c:pt idx="1">
                  <c:v>900</c:v>
                </c:pt>
                <c:pt idx="2">
                  <c:v>1350</c:v>
                </c:pt>
                <c:pt idx="3">
                  <c:v>450</c:v>
                </c:pt>
              </c:numCache>
            </c:numRef>
          </c:val>
          <c:extLst>
            <c:ext xmlns:c16="http://schemas.microsoft.com/office/drawing/2014/chart" uri="{C3380CC4-5D6E-409C-BE32-E72D297353CC}">
              <c16:uniqueId val="{00000037-F6A6-48E7-B99B-ACBA25FBF8A9}"/>
            </c:ext>
          </c:extLst>
        </c:ser>
        <c:ser>
          <c:idx val="8"/>
          <c:order val="8"/>
          <c:tx>
            <c:strRef>
              <c:f>'Profit by Market &amp; Product'!$J$3:$J$4</c:f>
              <c:strCache>
                <c:ptCount val="1"/>
                <c:pt idx="0">
                  <c:v>Monitor 27”</c:v>
                </c:pt>
              </c:strCache>
            </c:strRef>
          </c:tx>
          <c:spPr>
            <a:solidFill>
              <a:schemeClr val="accent3">
                <a:lumMod val="60000"/>
              </a:schemeClr>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Product'!$J$5:$J$10</c:f>
              <c:numCache>
                <c:formatCode>_([$€-2]\ * #,##0.00_);_([$€-2]\ * \(#,##0.00\);_([$€-2]\ * "-"??_);_(@_)</c:formatCode>
                <c:ptCount val="5"/>
                <c:pt idx="1">
                  <c:v>240</c:v>
                </c:pt>
                <c:pt idx="4">
                  <c:v>600</c:v>
                </c:pt>
              </c:numCache>
            </c:numRef>
          </c:val>
          <c:extLst>
            <c:ext xmlns:c16="http://schemas.microsoft.com/office/drawing/2014/chart" uri="{C3380CC4-5D6E-409C-BE32-E72D297353CC}">
              <c16:uniqueId val="{00000038-F6A6-48E7-B99B-ACBA25FBF8A9}"/>
            </c:ext>
          </c:extLst>
        </c:ser>
        <c:ser>
          <c:idx val="9"/>
          <c:order val="9"/>
          <c:tx>
            <c:strRef>
              <c:f>'Profit by Market &amp; Product'!$K$3:$K$4</c:f>
              <c:strCache>
                <c:ptCount val="1"/>
                <c:pt idx="0">
                  <c:v>Printer Office 20</c:v>
                </c:pt>
              </c:strCache>
            </c:strRef>
          </c:tx>
          <c:spPr>
            <a:solidFill>
              <a:schemeClr val="accent4">
                <a:lumMod val="60000"/>
              </a:schemeClr>
            </a:solidFill>
            <a:ln>
              <a:noFill/>
            </a:ln>
            <a:effectLst/>
          </c:spPr>
          <c:invertIfNegative val="0"/>
          <c:cat>
            <c:strRef>
              <c:f>'Profit by Market &amp; Product'!$A$5:$A$10</c:f>
              <c:strCache>
                <c:ptCount val="5"/>
                <c:pt idx="0">
                  <c:v>HR</c:v>
                </c:pt>
                <c:pt idx="1">
                  <c:v>SI</c:v>
                </c:pt>
                <c:pt idx="2">
                  <c:v>UK</c:v>
                </c:pt>
                <c:pt idx="3">
                  <c:v>AUS</c:v>
                </c:pt>
                <c:pt idx="4">
                  <c:v>BIH</c:v>
                </c:pt>
              </c:strCache>
            </c:strRef>
          </c:cat>
          <c:val>
            <c:numRef>
              <c:f>'Profit by Market &amp; Product'!$K$5:$K$10</c:f>
              <c:numCache>
                <c:formatCode>_([$€-2]\ * #,##0.00_);_([$€-2]\ * \(#,##0.00\);_([$€-2]\ * "-"??_);_(@_)</c:formatCode>
                <c:ptCount val="5"/>
                <c:pt idx="0">
                  <c:v>160</c:v>
                </c:pt>
              </c:numCache>
            </c:numRef>
          </c:val>
          <c:extLst>
            <c:ext xmlns:c16="http://schemas.microsoft.com/office/drawing/2014/chart" uri="{C3380CC4-5D6E-409C-BE32-E72D297353CC}">
              <c16:uniqueId val="{00000039-F6A6-48E7-B99B-ACBA25FBF8A9}"/>
            </c:ext>
          </c:extLst>
        </c:ser>
        <c:dLbls>
          <c:showLegendKey val="0"/>
          <c:showVal val="0"/>
          <c:showCatName val="0"/>
          <c:showSerName val="0"/>
          <c:showPercent val="0"/>
          <c:showBubbleSize val="0"/>
        </c:dLbls>
        <c:gapWidth val="150"/>
        <c:overlap val="100"/>
        <c:axId val="132888944"/>
        <c:axId val="132891344"/>
      </c:barChart>
      <c:catAx>
        <c:axId val="13288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91344"/>
        <c:crosses val="autoZero"/>
        <c:auto val="1"/>
        <c:lblAlgn val="ctr"/>
        <c:lblOffset val="100"/>
        <c:noMultiLvlLbl val="0"/>
      </c:catAx>
      <c:valAx>
        <c:axId val="132891344"/>
        <c:scaling>
          <c:orientation val="minMax"/>
        </c:scaling>
        <c:delete val="0"/>
        <c:axPos val="l"/>
        <c:majorGridlines>
          <c:spPr>
            <a:ln w="9525" cap="flat" cmpd="sng" algn="ctr">
              <a:solidFill>
                <a:schemeClr val="tx1">
                  <a:lumMod val="15000"/>
                  <a:lumOff val="8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[AdriaTech_Analytics pravoo.xlsx]Units sold each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r-HR"/>
              <a:t>Units</a:t>
            </a:r>
            <a:r>
              <a:rPr lang="hr-HR"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month'!$A$4:$A$14</c:f>
              <c:strCache>
                <c:ptCount val="10"/>
                <c:pt idx="0">
                  <c:v>Jan</c:v>
                </c:pt>
                <c:pt idx="1">
                  <c:v>Feb</c:v>
                </c:pt>
                <c:pt idx="2">
                  <c:v>Mar</c:v>
                </c:pt>
                <c:pt idx="3">
                  <c:v>May</c:v>
                </c:pt>
                <c:pt idx="4">
                  <c:v>Jun</c:v>
                </c:pt>
                <c:pt idx="5">
                  <c:v>Jul</c:v>
                </c:pt>
                <c:pt idx="6">
                  <c:v>Aug</c:v>
                </c:pt>
                <c:pt idx="7">
                  <c:v>Sep</c:v>
                </c:pt>
                <c:pt idx="8">
                  <c:v>Oct</c:v>
                </c:pt>
                <c:pt idx="9">
                  <c:v>Nov</c:v>
                </c:pt>
              </c:strCache>
            </c:strRef>
          </c:cat>
          <c:val>
            <c:numRef>
              <c:f>'Units sold each month'!$B$4:$B$14</c:f>
              <c:numCache>
                <c:formatCode>General</c:formatCode>
                <c:ptCount val="10"/>
                <c:pt idx="0">
                  <c:v>4</c:v>
                </c:pt>
                <c:pt idx="1">
                  <c:v>7</c:v>
                </c:pt>
                <c:pt idx="2">
                  <c:v>5</c:v>
                </c:pt>
                <c:pt idx="3">
                  <c:v>4</c:v>
                </c:pt>
                <c:pt idx="4">
                  <c:v>8</c:v>
                </c:pt>
                <c:pt idx="5">
                  <c:v>7</c:v>
                </c:pt>
                <c:pt idx="6">
                  <c:v>3</c:v>
                </c:pt>
                <c:pt idx="7">
                  <c:v>3</c:v>
                </c:pt>
                <c:pt idx="8">
                  <c:v>3</c:v>
                </c:pt>
                <c:pt idx="9">
                  <c:v>5</c:v>
                </c:pt>
              </c:numCache>
            </c:numRef>
          </c:val>
          <c:smooth val="0"/>
          <c:extLst>
            <c:ext xmlns:c16="http://schemas.microsoft.com/office/drawing/2014/chart" uri="{C3380CC4-5D6E-409C-BE32-E72D297353CC}">
              <c16:uniqueId val="{00000000-336C-41F1-8CA6-F8E5AC7BB921}"/>
            </c:ext>
          </c:extLst>
        </c:ser>
        <c:dLbls>
          <c:showLegendKey val="0"/>
          <c:showVal val="0"/>
          <c:showCatName val="0"/>
          <c:showSerName val="0"/>
          <c:showPercent val="0"/>
          <c:showBubbleSize val="0"/>
        </c:dLbls>
        <c:smooth val="0"/>
        <c:axId val="63616064"/>
        <c:axId val="63616544"/>
      </c:lineChart>
      <c:catAx>
        <c:axId val="6361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16544"/>
        <c:crosses val="autoZero"/>
        <c:auto val="1"/>
        <c:lblAlgn val="ctr"/>
        <c:lblOffset val="100"/>
        <c:noMultiLvlLbl val="0"/>
      </c:catAx>
      <c:valAx>
        <c:axId val="6361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1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[AdriaTech_Analytics pravoo.xlsx]Profit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r-HR"/>
              <a:t>Profit</a:t>
            </a:r>
            <a:r>
              <a:rPr lang="hr-HR"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month'!$A$4:$A$14</c:f>
              <c:strCache>
                <c:ptCount val="10"/>
                <c:pt idx="0">
                  <c:v>Jan</c:v>
                </c:pt>
                <c:pt idx="1">
                  <c:v>Feb</c:v>
                </c:pt>
                <c:pt idx="2">
                  <c:v>Mar</c:v>
                </c:pt>
                <c:pt idx="3">
                  <c:v>May</c:v>
                </c:pt>
                <c:pt idx="4">
                  <c:v>Jun</c:v>
                </c:pt>
                <c:pt idx="5">
                  <c:v>Jul</c:v>
                </c:pt>
                <c:pt idx="6">
                  <c:v>Aug</c:v>
                </c:pt>
                <c:pt idx="7">
                  <c:v>Sep</c:v>
                </c:pt>
                <c:pt idx="8">
                  <c:v>Oct</c:v>
                </c:pt>
                <c:pt idx="9">
                  <c:v>Nov</c:v>
                </c:pt>
              </c:strCache>
            </c:strRef>
          </c:cat>
          <c:val>
            <c:numRef>
              <c:f>'Profit by month'!$B$4:$B$14</c:f>
              <c:numCache>
                <c:formatCode>_([$€-2]\ * #,##0.00_);_([$€-2]\ * \(#,##0.00\);_([$€-2]\ * "-"??_);_(@_)</c:formatCode>
                <c:ptCount val="10"/>
                <c:pt idx="0">
                  <c:v>1950</c:v>
                </c:pt>
                <c:pt idx="1">
                  <c:v>3400</c:v>
                </c:pt>
                <c:pt idx="2">
                  <c:v>2300</c:v>
                </c:pt>
                <c:pt idx="3">
                  <c:v>2100</c:v>
                </c:pt>
                <c:pt idx="4">
                  <c:v>5700</c:v>
                </c:pt>
                <c:pt idx="5">
                  <c:v>1620</c:v>
                </c:pt>
                <c:pt idx="6">
                  <c:v>610</c:v>
                </c:pt>
                <c:pt idx="7">
                  <c:v>840</c:v>
                </c:pt>
                <c:pt idx="8">
                  <c:v>4100</c:v>
                </c:pt>
                <c:pt idx="9">
                  <c:v>1950</c:v>
                </c:pt>
              </c:numCache>
            </c:numRef>
          </c:val>
          <c:smooth val="0"/>
          <c:extLst>
            <c:ext xmlns:c16="http://schemas.microsoft.com/office/drawing/2014/chart" uri="{C3380CC4-5D6E-409C-BE32-E72D297353CC}">
              <c16:uniqueId val="{00000000-3D95-41DE-89FB-B7512990AAED}"/>
            </c:ext>
          </c:extLst>
        </c:ser>
        <c:dLbls>
          <c:showLegendKey val="0"/>
          <c:showVal val="0"/>
          <c:showCatName val="0"/>
          <c:showSerName val="0"/>
          <c:showPercent val="0"/>
          <c:showBubbleSize val="0"/>
        </c:dLbls>
        <c:smooth val="0"/>
        <c:axId val="1104917280"/>
        <c:axId val="852633792"/>
      </c:lineChart>
      <c:catAx>
        <c:axId val="110491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33792"/>
        <c:crosses val="autoZero"/>
        <c:auto val="1"/>
        <c:lblAlgn val="ctr"/>
        <c:lblOffset val="100"/>
        <c:noMultiLvlLbl val="0"/>
      </c:catAx>
      <c:valAx>
        <c:axId val="852633792"/>
        <c:scaling>
          <c:orientation val="minMax"/>
        </c:scaling>
        <c:delete val="0"/>
        <c:axPos val="l"/>
        <c:majorGridlines>
          <c:spPr>
            <a:ln w="9525" cap="flat" cmpd="sng" algn="ctr">
              <a:solidFill>
                <a:schemeClr val="tx1">
                  <a:lumMod val="15000"/>
                  <a:lumOff val="8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91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0</xdr:colOff>
      <xdr:row>4</xdr:row>
      <xdr:rowOff>0</xdr:rowOff>
    </xdr:from>
    <xdr:to>
      <xdr:col>14</xdr:col>
      <xdr:colOff>0</xdr:colOff>
      <xdr:row>24</xdr:row>
      <xdr:rowOff>0</xdr:rowOff>
    </xdr:to>
    <xdr:graphicFrame macro="">
      <xdr:nvGraphicFramePr>
        <xdr:cNvPr id="2" name="Chart 1">
          <a:extLst>
            <a:ext uri="{FF2B5EF4-FFF2-40B4-BE49-F238E27FC236}">
              <a16:creationId xmlns:a16="http://schemas.microsoft.com/office/drawing/2014/main" id="{4CE593D3-8422-469E-981E-7169FCE7E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4</xdr:row>
      <xdr:rowOff>0</xdr:rowOff>
    </xdr:from>
    <xdr:to>
      <xdr:col>23</xdr:col>
      <xdr:colOff>0</xdr:colOff>
      <xdr:row>14</xdr:row>
      <xdr:rowOff>1906</xdr:rowOff>
    </xdr:to>
    <xdr:graphicFrame macro="">
      <xdr:nvGraphicFramePr>
        <xdr:cNvPr id="3" name="Chart 2">
          <a:extLst>
            <a:ext uri="{FF2B5EF4-FFF2-40B4-BE49-F238E27FC236}">
              <a16:creationId xmlns:a16="http://schemas.microsoft.com/office/drawing/2014/main" id="{A7B734A6-9B8C-48CB-AEAF-4D6381202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14</xdr:row>
      <xdr:rowOff>167641</xdr:rowOff>
    </xdr:from>
    <xdr:to>
      <xdr:col>23</xdr:col>
      <xdr:colOff>0</xdr:colOff>
      <xdr:row>24</xdr:row>
      <xdr:rowOff>0</xdr:rowOff>
    </xdr:to>
    <xdr:graphicFrame macro="">
      <xdr:nvGraphicFramePr>
        <xdr:cNvPr id="4" name="Chart 3">
          <a:extLst>
            <a:ext uri="{FF2B5EF4-FFF2-40B4-BE49-F238E27FC236}">
              <a16:creationId xmlns:a16="http://schemas.microsoft.com/office/drawing/2014/main" id="{7B23AD1E-C03B-433E-BBE5-29A33484E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4</xdr:row>
      <xdr:rowOff>0</xdr:rowOff>
    </xdr:from>
    <xdr:to>
      <xdr:col>5</xdr:col>
      <xdr:colOff>664845</xdr:colOff>
      <xdr:row>12</xdr:row>
      <xdr:rowOff>76200</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B63FE736-7C26-69C2-A00F-5D6D640A5A01}"/>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66750" y="685800"/>
              <a:ext cx="3335655" cy="1447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0</xdr:colOff>
      <xdr:row>14</xdr:row>
      <xdr:rowOff>0</xdr:rowOff>
    </xdr:from>
    <xdr:to>
      <xdr:col>3</xdr:col>
      <xdr:colOff>0</xdr:colOff>
      <xdr:row>23</xdr:row>
      <xdr:rowOff>0</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B491EA75-BC9D-61BD-17B7-14DCF52FF9A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66750" y="2400300"/>
              <a:ext cx="133350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14</xdr:row>
      <xdr:rowOff>0</xdr:rowOff>
    </xdr:from>
    <xdr:to>
      <xdr:col>6</xdr:col>
      <xdr:colOff>0</xdr:colOff>
      <xdr:row>28</xdr:row>
      <xdr:rowOff>87630</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2DABFC15-DDC1-4256-1EDE-1FF1E1CD509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000250" y="2400300"/>
              <a:ext cx="2000250" cy="2491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12</xdr:row>
      <xdr:rowOff>0</xdr:rowOff>
    </xdr:from>
    <xdr:to>
      <xdr:col>5</xdr:col>
      <xdr:colOff>630555</xdr:colOff>
      <xdr:row>27</xdr:row>
      <xdr:rowOff>26670</xdr:rowOff>
    </xdr:to>
    <xdr:graphicFrame macro="">
      <xdr:nvGraphicFramePr>
        <xdr:cNvPr id="3" name="Chart 2">
          <a:extLst>
            <a:ext uri="{FF2B5EF4-FFF2-40B4-BE49-F238E27FC236}">
              <a16:creationId xmlns:a16="http://schemas.microsoft.com/office/drawing/2014/main" id="{A2EEFBE8-8A17-53E6-2F85-3B51627D2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164782</xdr:colOff>
      <xdr:row>7</xdr:row>
      <xdr:rowOff>54292</xdr:rowOff>
    </xdr:from>
    <xdr:to>
      <xdr:col>11</xdr:col>
      <xdr:colOff>469582</xdr:colOff>
      <xdr:row>22</xdr:row>
      <xdr:rowOff>82867</xdr:rowOff>
    </xdr:to>
    <xdr:graphicFrame macro="">
      <xdr:nvGraphicFramePr>
        <xdr:cNvPr id="2" name="Chart 1">
          <a:extLst>
            <a:ext uri="{FF2B5EF4-FFF2-40B4-BE49-F238E27FC236}">
              <a16:creationId xmlns:a16="http://schemas.microsoft.com/office/drawing/2014/main" id="{8C84A632-682B-4832-247C-943377CFA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0</xdr:colOff>
      <xdr:row>17</xdr:row>
      <xdr:rowOff>24765</xdr:rowOff>
    </xdr:to>
    <xdr:graphicFrame macro="">
      <xdr:nvGraphicFramePr>
        <xdr:cNvPr id="2" name="Chart 1">
          <a:extLst>
            <a:ext uri="{FF2B5EF4-FFF2-40B4-BE49-F238E27FC236}">
              <a16:creationId xmlns:a16="http://schemas.microsoft.com/office/drawing/2014/main" id="{DE9D4079-1034-9CDE-4191-1F0F82D36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ola Zupicic" refreshedDate="46007.756186689818" createdVersion="8" refreshedVersion="8" minRefreshableVersion="3" recordCount="20" xr:uid="{68225642-13BC-4AF1-9740-EC36A6BF9626}">
  <cacheSource type="worksheet">
    <worksheetSource ref="A1:J21" sheet="Data"/>
  </cacheSource>
  <cacheFields count="12">
    <cacheField name="OrderID" numFmtId="0">
      <sharedItems containsSemiMixedTypes="0" containsString="0" containsNumber="1" containsInteger="1" minValue="5001" maxValue="5011"/>
    </cacheField>
    <cacheField name="Customer" numFmtId="0">
      <sharedItems/>
    </cacheField>
    <cacheField name="Country" numFmtId="0">
      <sharedItems count="5">
        <s v="HR"/>
        <s v="BIH"/>
        <s v="SI"/>
        <s v="AUS"/>
        <s v="UK"/>
      </sharedItems>
    </cacheField>
    <cacheField name="Product" numFmtId="0">
      <sharedItems count="10">
        <s v="Laptop Pro 14"/>
        <s v="IT Support paket"/>
        <s v="Monitor 27”"/>
        <s v="CRM Licenca"/>
        <s v="ERP Licenca"/>
        <s v="Cloud Storage 1TB"/>
        <s v="Antivirus Enterprise"/>
        <s v="Laptop Basic 15"/>
        <s v="Printer Office 20"/>
        <s v="IT Training Paket"/>
      </sharedItems>
    </cacheField>
    <cacheField name="Category" numFmtId="0">
      <sharedItems/>
    </cacheField>
    <cacheField name="Units Sold" numFmtId="0">
      <sharedItems containsSemiMixedTypes="0" containsString="0" containsNumber="1" containsInteger="1" minValue="1" maxValue="5"/>
    </cacheField>
    <cacheField name="Revenue (€)" numFmtId="165">
      <sharedItems containsSemiMixedTypes="0" containsString="0" containsNumber="1" containsInteger="1" minValue="360" maxValue="5400"/>
    </cacheField>
    <cacheField name="Cost (€)" numFmtId="165">
      <sharedItems containsSemiMixedTypes="0" containsString="0" containsNumber="1" containsInteger="1" minValue="60" maxValue="3000"/>
    </cacheField>
    <cacheField name="Profit (€)" numFmtId="165">
      <sharedItems containsSemiMixedTypes="0" containsString="0" containsNumber="1" containsInteger="1" minValue="160" maxValue="4200"/>
    </cacheField>
    <cacheField name="Date" numFmtId="164">
      <sharedItems containsSemiMixedTypes="0" containsNonDate="0" containsDate="1" containsString="0" minDate="2023-01-15T00:00:00" maxDate="2023-11-21T00:00:00" count="10">
        <d v="2023-01-15T00:00:00"/>
        <d v="2023-02-02T00:00:00"/>
        <d v="2023-03-11T00:00:00"/>
        <d v="2023-05-19T00:00:00"/>
        <d v="2023-06-07T00:00:00"/>
        <d v="2023-07-22T00:00:00"/>
        <d v="2023-08-15T00:00:00"/>
        <d v="2023-09-05T00:00:00"/>
        <d v="2023-10-12T00:00:00"/>
        <d v="2023-11-20T00:00:00"/>
      </sharedItems>
      <fieldGroup par="11"/>
    </cacheField>
    <cacheField name="Days (Date)" numFmtId="0" databaseField="0">
      <fieldGroup base="9">
        <rangePr groupBy="days" startDate="2023-01-15T00:00:00" endDate="2023-11-21T00:00:00"/>
        <groupItems count="368">
          <s v="&lt;1/15/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1/2023"/>
        </groupItems>
      </fieldGroup>
    </cacheField>
    <cacheField name="Months (Date)" numFmtId="0" databaseField="0">
      <fieldGroup base="9">
        <rangePr groupBy="months" startDate="2023-01-15T00:00:00" endDate="2023-11-21T00:00:00"/>
        <groupItems count="14">
          <s v="&lt;1/15/2023"/>
          <s v="Jan"/>
          <s v="Feb"/>
          <s v="Mar"/>
          <s v="Apr"/>
          <s v="May"/>
          <s v="Jun"/>
          <s v="Jul"/>
          <s v="Aug"/>
          <s v="Sep"/>
          <s v="Oct"/>
          <s v="Nov"/>
          <s v="Dec"/>
          <s v="&gt;11/21/2023"/>
        </groupItems>
      </fieldGroup>
    </cacheField>
  </cacheFields>
  <extLst>
    <ext xmlns:x14="http://schemas.microsoft.com/office/spreadsheetml/2009/9/main" uri="{725AE2AE-9491-48be-B2B4-4EB974FC3084}">
      <x14:pivotCacheDefinition pivotCacheId="819310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5001"/>
    <s v="Alpha Trade"/>
    <x v="0"/>
    <x v="0"/>
    <s v="Hardware"/>
    <n v="3"/>
    <n v="4350"/>
    <n v="3000"/>
    <n v="1350"/>
    <x v="0"/>
  </r>
  <r>
    <n v="5001"/>
    <s v="Alpha Trade"/>
    <x v="0"/>
    <x v="1"/>
    <s v="Service"/>
    <n v="1"/>
    <n v="900"/>
    <n v="300"/>
    <n v="600"/>
    <x v="0"/>
  </r>
  <r>
    <n v="5002"/>
    <s v="Gamma Retail"/>
    <x v="1"/>
    <x v="2"/>
    <s v="Hardware"/>
    <n v="5"/>
    <n v="1600"/>
    <n v="1000"/>
    <n v="600"/>
    <x v="1"/>
  </r>
  <r>
    <n v="5002"/>
    <s v="Gamma Retail"/>
    <x v="0"/>
    <x v="3"/>
    <s v="Software"/>
    <n v="2"/>
    <n v="3600"/>
    <n v="800"/>
    <n v="2800"/>
    <x v="1"/>
  </r>
  <r>
    <n v="5003"/>
    <s v="Beta Logistika"/>
    <x v="0"/>
    <x v="4"/>
    <s v="Software"/>
    <n v="1"/>
    <n v="2400"/>
    <n v="500"/>
    <n v="1900"/>
    <x v="2"/>
  </r>
  <r>
    <n v="5003"/>
    <s v="Beta Logistika"/>
    <x v="1"/>
    <x v="5"/>
    <s v="Service"/>
    <n v="4"/>
    <n v="480"/>
    <n v="80"/>
    <n v="400"/>
    <x v="2"/>
  </r>
  <r>
    <n v="5004"/>
    <s v="Delta Solutions"/>
    <x v="2"/>
    <x v="0"/>
    <s v="Hardware"/>
    <n v="2"/>
    <n v="2900"/>
    <n v="2000"/>
    <n v="900"/>
    <x v="3"/>
  </r>
  <r>
    <n v="5004"/>
    <s v="Delta Solutions"/>
    <x v="2"/>
    <x v="1"/>
    <s v="Service"/>
    <n v="2"/>
    <n v="1800"/>
    <n v="600"/>
    <n v="1200"/>
    <x v="3"/>
  </r>
  <r>
    <n v="5005"/>
    <s v="Sigma Corp"/>
    <x v="2"/>
    <x v="3"/>
    <s v="Software"/>
    <n v="3"/>
    <n v="5400"/>
    <n v="1200"/>
    <n v="4200"/>
    <x v="4"/>
  </r>
  <r>
    <n v="5005"/>
    <s v="Sigma Corp"/>
    <x v="2"/>
    <x v="6"/>
    <s v="Software"/>
    <n v="5"/>
    <n v="1750"/>
    <n v="250"/>
    <n v="1500"/>
    <x v="4"/>
  </r>
  <r>
    <n v="5006"/>
    <s v="Epsilon Tech"/>
    <x v="3"/>
    <x v="7"/>
    <s v="Hardware"/>
    <n v="4"/>
    <n v="3920"/>
    <n v="2600"/>
    <n v="1320"/>
    <x v="5"/>
  </r>
  <r>
    <n v="5006"/>
    <s v="Epsilon Tech"/>
    <x v="3"/>
    <x v="5"/>
    <s v="Service"/>
    <n v="3"/>
    <n v="360"/>
    <n v="60"/>
    <n v="300"/>
    <x v="5"/>
  </r>
  <r>
    <n v="5007"/>
    <s v="Zeta Systems"/>
    <x v="3"/>
    <x v="0"/>
    <s v="Hardware"/>
    <n v="1"/>
    <n v="1450"/>
    <n v="1000"/>
    <n v="450"/>
    <x v="6"/>
  </r>
  <r>
    <n v="5007"/>
    <s v="Zeta Systems"/>
    <x v="0"/>
    <x v="8"/>
    <s v="Hardware"/>
    <n v="2"/>
    <n v="400"/>
    <n v="240"/>
    <n v="160"/>
    <x v="6"/>
  </r>
  <r>
    <n v="5008"/>
    <s v="Eta Services"/>
    <x v="2"/>
    <x v="2"/>
    <s v="Hardware"/>
    <n v="2"/>
    <n v="640"/>
    <n v="400"/>
    <n v="240"/>
    <x v="7"/>
  </r>
  <r>
    <n v="5008"/>
    <s v="Eta Services"/>
    <x v="2"/>
    <x v="1"/>
    <s v="Service"/>
    <n v="1"/>
    <n v="900"/>
    <n v="300"/>
    <n v="600"/>
    <x v="7"/>
  </r>
  <r>
    <n v="5009"/>
    <s v="Theta Retail"/>
    <x v="0"/>
    <x v="4"/>
    <s v="Software"/>
    <n v="2"/>
    <n v="4800"/>
    <n v="1000"/>
    <n v="3800"/>
    <x v="8"/>
  </r>
  <r>
    <n v="5009"/>
    <s v="Theta Retail"/>
    <x v="4"/>
    <x v="9"/>
    <s v="Service"/>
    <n v="1"/>
    <n v="500"/>
    <n v="200"/>
    <n v="300"/>
    <x v="8"/>
  </r>
  <r>
    <n v="5010"/>
    <s v="Iota Enterprise"/>
    <x v="4"/>
    <x v="0"/>
    <s v="Hardware"/>
    <n v="3"/>
    <n v="4350"/>
    <n v="3000"/>
    <n v="1350"/>
    <x v="9"/>
  </r>
  <r>
    <n v="5011"/>
    <s v="Iota Enterprise"/>
    <x v="4"/>
    <x v="6"/>
    <s v="Software"/>
    <n v="2"/>
    <n v="700"/>
    <n v="100"/>
    <n v="60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528BE1-AD5D-4C43-B90A-A7DAC57A1DA9}" name="PivotTable1" cacheId="4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L10" firstHeaderRow="1" firstDataRow="2" firstDataCol="1"/>
  <pivotFields count="12">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axis="axisCol" showAll="0">
      <items count="11">
        <item x="6"/>
        <item x="5"/>
        <item x="3"/>
        <item x="4"/>
        <item x="1"/>
        <item x="9"/>
        <item x="7"/>
        <item x="0"/>
        <item x="2"/>
        <item x="8"/>
        <item t="default"/>
      </items>
    </pivotField>
    <pivotField showAll="0"/>
    <pivotField showAll="0"/>
    <pivotField showAll="0"/>
    <pivotField showAll="0"/>
    <pivotField dataField="1" showAll="0"/>
    <pivotField numFmtId="164" showAll="0">
      <items count="11">
        <item x="0"/>
        <item x="1"/>
        <item x="2"/>
        <item x="3"/>
        <item x="4"/>
        <item x="5"/>
        <item x="6"/>
        <item x="7"/>
        <item x="8"/>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2"/>
    </i>
    <i>
      <x v="3"/>
    </i>
    <i>
      <x v="4"/>
    </i>
    <i>
      <x/>
    </i>
    <i>
      <x v="1"/>
    </i>
    <i t="grand">
      <x/>
    </i>
  </rowItems>
  <colFields count="1">
    <field x="3"/>
  </colFields>
  <colItems count="11">
    <i>
      <x/>
    </i>
    <i>
      <x v="1"/>
    </i>
    <i>
      <x v="2"/>
    </i>
    <i>
      <x v="3"/>
    </i>
    <i>
      <x v="4"/>
    </i>
    <i>
      <x v="5"/>
    </i>
    <i>
      <x v="6"/>
    </i>
    <i>
      <x v="7"/>
    </i>
    <i>
      <x v="8"/>
    </i>
    <i>
      <x v="9"/>
    </i>
    <i t="grand">
      <x/>
    </i>
  </colItems>
  <dataFields count="1">
    <dataField name="Sum of Profit (€)" fld="8" baseField="0" baseItem="0" numFmtId="165"/>
  </dataFields>
  <formats count="1">
    <format dxfId="14">
      <pivotArea outline="0" collapsedLevelsAreSubtotals="1" fieldPosition="0"/>
    </format>
  </formats>
  <chartFormats count="22">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2">
          <reference field="4294967294" count="1" selected="0">
            <x v="0"/>
          </reference>
          <reference field="3" count="1" selected="0">
            <x v="3"/>
          </reference>
        </references>
      </pivotArea>
    </chartFormat>
    <chartFormat chart="3" format="4" series="1">
      <pivotArea type="data" outline="0" fieldPosition="0">
        <references count="2">
          <reference field="4294967294" count="1" selected="0">
            <x v="0"/>
          </reference>
          <reference field="3" count="1" selected="0">
            <x v="4"/>
          </reference>
        </references>
      </pivotArea>
    </chartFormat>
    <chartFormat chart="3" format="5" series="1">
      <pivotArea type="data" outline="0" fieldPosition="0">
        <references count="2">
          <reference field="4294967294" count="1" selected="0">
            <x v="0"/>
          </reference>
          <reference field="3" count="1" selected="0">
            <x v="5"/>
          </reference>
        </references>
      </pivotArea>
    </chartFormat>
    <chartFormat chart="3" format="6" series="1">
      <pivotArea type="data" outline="0" fieldPosition="0">
        <references count="2">
          <reference field="4294967294" count="1" selected="0">
            <x v="0"/>
          </reference>
          <reference field="3" count="1" selected="0">
            <x v="6"/>
          </reference>
        </references>
      </pivotArea>
    </chartFormat>
    <chartFormat chart="3" format="7" series="1">
      <pivotArea type="data" outline="0" fieldPosition="0">
        <references count="2">
          <reference field="4294967294" count="1" selected="0">
            <x v="0"/>
          </reference>
          <reference field="3" count="1" selected="0">
            <x v="7"/>
          </reference>
        </references>
      </pivotArea>
    </chartFormat>
    <chartFormat chart="3" format="8" series="1">
      <pivotArea type="data" outline="0" fieldPosition="0">
        <references count="2">
          <reference field="4294967294" count="1" selected="0">
            <x v="0"/>
          </reference>
          <reference field="3" count="1" selected="0">
            <x v="8"/>
          </reference>
        </references>
      </pivotArea>
    </chartFormat>
    <chartFormat chart="3" format="9" series="1">
      <pivotArea type="data" outline="0" fieldPosition="0">
        <references count="2">
          <reference field="4294967294" count="1" selected="0">
            <x v="0"/>
          </reference>
          <reference field="3" count="1" selected="0">
            <x v="9"/>
          </reference>
        </references>
      </pivotArea>
    </chartFormat>
    <chartFormat chart="7" format="20" series="1">
      <pivotArea type="data" outline="0" fieldPosition="0">
        <references count="2">
          <reference field="4294967294" count="1" selected="0">
            <x v="0"/>
          </reference>
          <reference field="3" count="1" selected="0">
            <x v="0"/>
          </reference>
        </references>
      </pivotArea>
    </chartFormat>
    <chartFormat chart="7" format="21" series="1">
      <pivotArea type="data" outline="0" fieldPosition="0">
        <references count="2">
          <reference field="4294967294" count="1" selected="0">
            <x v="0"/>
          </reference>
          <reference field="3" count="1" selected="0">
            <x v="1"/>
          </reference>
        </references>
      </pivotArea>
    </chartFormat>
    <chartFormat chart="7" format="22" series="1">
      <pivotArea type="data" outline="0" fieldPosition="0">
        <references count="2">
          <reference field="4294967294" count="1" selected="0">
            <x v="0"/>
          </reference>
          <reference field="3" count="1" selected="0">
            <x v="2"/>
          </reference>
        </references>
      </pivotArea>
    </chartFormat>
    <chartFormat chart="7" format="23" series="1">
      <pivotArea type="data" outline="0" fieldPosition="0">
        <references count="2">
          <reference field="4294967294" count="1" selected="0">
            <x v="0"/>
          </reference>
          <reference field="3" count="1" selected="0">
            <x v="3"/>
          </reference>
        </references>
      </pivotArea>
    </chartFormat>
    <chartFormat chart="7" format="24" series="1">
      <pivotArea type="data" outline="0" fieldPosition="0">
        <references count="2">
          <reference field="4294967294" count="1" selected="0">
            <x v="0"/>
          </reference>
          <reference field="3" count="1" selected="0">
            <x v="4"/>
          </reference>
        </references>
      </pivotArea>
    </chartFormat>
    <chartFormat chart="7" format="25" series="1">
      <pivotArea type="data" outline="0" fieldPosition="0">
        <references count="2">
          <reference field="4294967294" count="1" selected="0">
            <x v="0"/>
          </reference>
          <reference field="3" count="1" selected="0">
            <x v="5"/>
          </reference>
        </references>
      </pivotArea>
    </chartFormat>
    <chartFormat chart="7" format="26" series="1">
      <pivotArea type="data" outline="0" fieldPosition="0">
        <references count="2">
          <reference field="4294967294" count="1" selected="0">
            <x v="0"/>
          </reference>
          <reference field="3" count="1" selected="0">
            <x v="6"/>
          </reference>
        </references>
      </pivotArea>
    </chartFormat>
    <chartFormat chart="7" format="27" series="1">
      <pivotArea type="data" outline="0" fieldPosition="0">
        <references count="2">
          <reference field="4294967294" count="1" selected="0">
            <x v="0"/>
          </reference>
          <reference field="3" count="1" selected="0">
            <x v="7"/>
          </reference>
        </references>
      </pivotArea>
    </chartFormat>
    <chartFormat chart="7" format="28" series="1">
      <pivotArea type="data" outline="0" fieldPosition="0">
        <references count="2">
          <reference field="4294967294" count="1" selected="0">
            <x v="0"/>
          </reference>
          <reference field="3" count="1" selected="0">
            <x v="8"/>
          </reference>
        </references>
      </pivotArea>
    </chartFormat>
    <chartFormat chart="7" format="29" series="1">
      <pivotArea type="data" outline="0" fieldPosition="0">
        <references count="2">
          <reference field="4294967294" count="1" selected="0">
            <x v="0"/>
          </reference>
          <reference field="3" count="1" selected="0">
            <x v="9"/>
          </reference>
        </references>
      </pivotArea>
    </chartFormat>
    <chartFormat chart="7" format="3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0"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61D974-1C7F-47A0-8062-08FE3A664B2E}"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2">
    <pivotField showAll="0"/>
    <pivotField showAll="0"/>
    <pivotField showAll="0">
      <items count="6">
        <item x="3"/>
        <item x="1"/>
        <item x="0"/>
        <item x="2"/>
        <item x="4"/>
        <item t="default"/>
      </items>
    </pivotField>
    <pivotField showAll="0">
      <items count="11">
        <item x="6"/>
        <item x="5"/>
        <item x="3"/>
        <item x="4"/>
        <item x="1"/>
        <item x="9"/>
        <item x="7"/>
        <item x="0"/>
        <item x="2"/>
        <item x="8"/>
        <item t="default"/>
      </items>
    </pivotField>
    <pivotField showAll="0"/>
    <pivotField dataField="1" showAll="0"/>
    <pivotField showAll="0"/>
    <pivotField showAll="0"/>
    <pivotField showAll="0"/>
    <pivotField axis="axisRow" numFmtId="164" showAll="0">
      <items count="11">
        <item x="0"/>
        <item x="1"/>
        <item x="2"/>
        <item x="3"/>
        <item x="4"/>
        <item x="5"/>
        <item x="6"/>
        <item x="7"/>
        <item x="8"/>
        <item x="9"/>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9"/>
  </rowFields>
  <rowItems count="11">
    <i>
      <x v="1"/>
    </i>
    <i>
      <x v="2"/>
    </i>
    <i>
      <x v="3"/>
    </i>
    <i>
      <x v="5"/>
    </i>
    <i>
      <x v="6"/>
    </i>
    <i>
      <x v="7"/>
    </i>
    <i>
      <x v="8"/>
    </i>
    <i>
      <x v="9"/>
    </i>
    <i>
      <x v="10"/>
    </i>
    <i>
      <x v="11"/>
    </i>
    <i t="grand">
      <x/>
    </i>
  </rowItems>
  <colItems count="1">
    <i/>
  </colItems>
  <dataFields count="1">
    <dataField name="Sum of Units Sold"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D809B0-6D92-4FD6-A107-1D4CA0F7D60F}"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2">
    <pivotField showAll="0"/>
    <pivotField showAll="0"/>
    <pivotField showAll="0">
      <items count="6">
        <item x="3"/>
        <item x="1"/>
        <item x="0"/>
        <item x="2"/>
        <item x="4"/>
        <item t="default"/>
      </items>
    </pivotField>
    <pivotField showAll="0">
      <items count="11">
        <item x="6"/>
        <item x="5"/>
        <item x="3"/>
        <item x="4"/>
        <item x="1"/>
        <item x="9"/>
        <item x="7"/>
        <item x="0"/>
        <item x="2"/>
        <item x="8"/>
        <item t="default"/>
      </items>
    </pivotField>
    <pivotField showAll="0"/>
    <pivotField showAll="0"/>
    <pivotField showAll="0"/>
    <pivotField showAll="0"/>
    <pivotField dataField="1" showAll="0"/>
    <pivotField axis="axisRow" numFmtId="164" showAll="0">
      <items count="11">
        <item x="0"/>
        <item x="1"/>
        <item x="2"/>
        <item x="3"/>
        <item x="4"/>
        <item x="5"/>
        <item x="6"/>
        <item x="7"/>
        <item x="8"/>
        <item x="9"/>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9"/>
  </rowFields>
  <rowItems count="11">
    <i>
      <x v="1"/>
    </i>
    <i>
      <x v="2"/>
    </i>
    <i>
      <x v="3"/>
    </i>
    <i>
      <x v="5"/>
    </i>
    <i>
      <x v="6"/>
    </i>
    <i>
      <x v="7"/>
    </i>
    <i>
      <x v="8"/>
    </i>
    <i>
      <x v="9"/>
    </i>
    <i>
      <x v="10"/>
    </i>
    <i>
      <x v="11"/>
    </i>
    <i t="grand">
      <x/>
    </i>
  </rowItems>
  <colItems count="1">
    <i/>
  </colItems>
  <dataFields count="1">
    <dataField name="Sum of Profit (€)" fld="8" baseField="0" baseItem="0" numFmtId="165"/>
  </dataFields>
  <formats count="1">
    <format dxfId="1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17A8DD1-9339-4F95-BC1A-557A1818D7D3}" sourceName="Country">
  <pivotTables>
    <pivotTable tabId="2" name="PivotTable1"/>
    <pivotTable tabId="4" name="PivotTable1"/>
    <pivotTable tabId="3" name="PivotTable1"/>
  </pivotTables>
  <data>
    <tabular pivotCacheId="819310798">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F0B05F4-6AC0-45E4-8158-FF75B7B42A92}" sourceName="Product">
  <pivotTables>
    <pivotTable tabId="2" name="PivotTable1"/>
    <pivotTable tabId="4" name="PivotTable1"/>
    <pivotTable tabId="3" name="PivotTable1"/>
  </pivotTables>
  <data>
    <tabular pivotCacheId="819310798">
      <items count="10">
        <i x="6" s="1"/>
        <i x="5" s="1"/>
        <i x="3" s="1"/>
        <i x="4" s="1"/>
        <i x="1" s="1"/>
        <i x="9" s="1"/>
        <i x="7" s="1"/>
        <i x="0" s="1"/>
        <i x="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6398817-DAA9-4078-86DD-15A8320950BA}" cache="Slicer_Country" caption="Country" showCaption="0" rowHeight="234950"/>
  <slicer name="Product" xr10:uid="{D3A1B3D3-6AA1-4B48-BE10-CDE138E566A0}" cache="Slicer_Product" caption="Product" startItem="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DDD2C3-392A-4AF0-B71D-61E9BCCF98D9}" name="Table1" displayName="Table1" ref="A1:K21" totalsRowShown="0" headerRowDxfId="1" dataDxfId="0" headerRowBorderDxfId="16" tableBorderDxfId="15">
  <autoFilter ref="A1:K21" xr:uid="{03DDD2C3-392A-4AF0-B71D-61E9BCCF98D9}"/>
  <tableColumns count="11">
    <tableColumn id="1" xr3:uid="{8BE0629D-D89E-4EF8-AA39-39F0A8E9081A}" name="OrderID" dataDxfId="12"/>
    <tableColumn id="2" xr3:uid="{30665424-FD40-4713-A258-F5285CAE576A}" name="Customer" dataDxfId="11"/>
    <tableColumn id="3" xr3:uid="{91FF1516-442F-4B72-9161-EEBFAA892E53}" name="Country" dataDxfId="10"/>
    <tableColumn id="4" xr3:uid="{2819DA56-8189-4085-9D9A-E0EAF4E06C3D}" name="Product" dataDxfId="9"/>
    <tableColumn id="5" xr3:uid="{103D2C48-E43F-4376-BD3C-6141E9400E36}" name="Category" dataDxfId="8"/>
    <tableColumn id="6" xr3:uid="{7300EDF0-D3CE-4344-8A05-5E6A1282C0B4}" name="Units Sold" dataDxfId="7"/>
    <tableColumn id="7" xr3:uid="{2A9109D3-CBE0-40D2-BF36-30B228247266}" name="Revenue (€)" dataDxfId="6"/>
    <tableColumn id="8" xr3:uid="{36102E13-A69E-4130-932B-5921774E4A40}" name="Cost (€)" dataDxfId="5"/>
    <tableColumn id="9" xr3:uid="{8892471F-2540-4A70-B472-F00BC240F10C}" name="Profit (€)" dataDxfId="4"/>
    <tableColumn id="10" xr3:uid="{13FB20A7-F5CA-4E32-ACE8-C410F482187B}" name="Date" dataDxfId="3"/>
    <tableColumn id="11" xr3:uid="{3F096D91-1207-4B3D-A689-FEEDE214E92C}" name="Month" dataDxfId="2"/>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805A93F-8F7E-4D2B-8C18-499C5B9040E9}" sourceName="Date">
  <pivotTables>
    <pivotTable tabId="2" name="PivotTable1"/>
  </pivotTables>
  <state minimalRefreshVersion="6" lastRefreshVersion="6" pivotCacheId="819310798" filterType="dateBetween">
    <selection startDate="2023-01-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79F18E5-AB57-49AE-B9E9-EBB6585BFB8D}" cache="NativeTimeline_Date" caption="Date" level="2" selectionLevel="0" scrollPosition="2023-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B5C84-C3BC-42FD-9D26-11DF6203B932}">
  <dimension ref="B3:B12"/>
  <sheetViews>
    <sheetView tabSelected="1" workbookViewId="0">
      <selection activeCell="E11" sqref="E11"/>
    </sheetView>
  </sheetViews>
  <sheetFormatPr defaultRowHeight="13.8" x14ac:dyDescent="0.25"/>
  <cols>
    <col min="1" max="1" width="7.3984375" customWidth="1"/>
    <col min="2" max="2" width="70.69921875" customWidth="1"/>
  </cols>
  <sheetData>
    <row r="3" spans="2:2" x14ac:dyDescent="0.25">
      <c r="B3" s="8" t="s">
        <v>65</v>
      </c>
    </row>
    <row r="4" spans="2:2" x14ac:dyDescent="0.25">
      <c r="B4" s="8" t="s">
        <v>64</v>
      </c>
    </row>
    <row r="5" spans="2:2" x14ac:dyDescent="0.25">
      <c r="B5" s="8" t="s">
        <v>67</v>
      </c>
    </row>
    <row r="6" spans="2:2" x14ac:dyDescent="0.25">
      <c r="B6" s="8" t="s">
        <v>66</v>
      </c>
    </row>
    <row r="7" spans="2:2" x14ac:dyDescent="0.25">
      <c r="B7" s="15" t="s">
        <v>68</v>
      </c>
    </row>
    <row r="8" spans="2:2" x14ac:dyDescent="0.25">
      <c r="B8" s="14" t="s">
        <v>69</v>
      </c>
    </row>
    <row r="9" spans="2:2" x14ac:dyDescent="0.25">
      <c r="B9" s="14" t="s">
        <v>70</v>
      </c>
    </row>
    <row r="10" spans="2:2" ht="13.2" customHeight="1" x14ac:dyDescent="0.25">
      <c r="B10" s="14" t="s">
        <v>71</v>
      </c>
    </row>
    <row r="11" spans="2:2" ht="15.6" customHeight="1" x14ac:dyDescent="0.25"/>
    <row r="12" spans="2:2" ht="55.2" customHeight="1" x14ac:dyDescent="0.25">
      <c r="B12" s="13" t="s">
        <v>72</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D2278-F609-4D55-B30C-DBFB9D5FE368}">
  <dimension ref="A1"/>
  <sheetViews>
    <sheetView workbookViewId="0">
      <selection activeCell="G30" sqref="G30"/>
    </sheetView>
  </sheetViews>
  <sheetFormatPr defaultRowHeight="13.8" x14ac:dyDescent="0.25"/>
  <cols>
    <col min="2" max="2" width="8.796875" customWidth="1"/>
    <col min="15" max="15" width="8.796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
  <sheetViews>
    <sheetView workbookViewId="0">
      <selection activeCell="K21" sqref="A1:K21"/>
    </sheetView>
  </sheetViews>
  <sheetFormatPr defaultRowHeight="13.8" x14ac:dyDescent="0.25"/>
  <cols>
    <col min="1" max="1" width="9.69921875" customWidth="1"/>
    <col min="2" max="2" width="18.296875" customWidth="1"/>
    <col min="3" max="3" width="14.8984375" customWidth="1"/>
    <col min="4" max="4" width="18.69921875" customWidth="1"/>
    <col min="5" max="5" width="17.09765625" customWidth="1"/>
    <col min="6" max="6" width="14.296875" customWidth="1"/>
    <col min="7" max="7" width="15" customWidth="1"/>
    <col min="8" max="8" width="15.59765625" customWidth="1"/>
    <col min="9" max="10" width="14.09765625" customWidth="1"/>
    <col min="11" max="11" width="12.296875" customWidth="1"/>
    <col min="12" max="12" width="14.296875" customWidth="1"/>
  </cols>
  <sheetData>
    <row r="1" spans="1:11" x14ac:dyDescent="0.25">
      <c r="A1" s="6" t="s">
        <v>0</v>
      </c>
      <c r="B1" s="6" t="s">
        <v>1</v>
      </c>
      <c r="C1" s="6" t="s">
        <v>2</v>
      </c>
      <c r="D1" s="6" t="s">
        <v>3</v>
      </c>
      <c r="E1" s="6" t="s">
        <v>4</v>
      </c>
      <c r="F1" s="6" t="s">
        <v>5</v>
      </c>
      <c r="G1" s="6" t="s">
        <v>6</v>
      </c>
      <c r="H1" s="6" t="s">
        <v>7</v>
      </c>
      <c r="I1" s="7" t="s">
        <v>8</v>
      </c>
      <c r="J1" s="6" t="s">
        <v>63</v>
      </c>
      <c r="K1" s="6" t="s">
        <v>41</v>
      </c>
    </row>
    <row r="2" spans="1:11" x14ac:dyDescent="0.25">
      <c r="A2" s="8">
        <v>5001</v>
      </c>
      <c r="B2" s="8" t="s">
        <v>9</v>
      </c>
      <c r="C2" s="8" t="s">
        <v>19</v>
      </c>
      <c r="D2" s="8" t="s">
        <v>21</v>
      </c>
      <c r="E2" s="8" t="s">
        <v>31</v>
      </c>
      <c r="F2" s="8">
        <v>3</v>
      </c>
      <c r="G2" s="9">
        <v>4350</v>
      </c>
      <c r="H2" s="9">
        <v>3000</v>
      </c>
      <c r="I2" s="10">
        <v>1350</v>
      </c>
      <c r="J2" s="11">
        <v>44941</v>
      </c>
      <c r="K2" s="12" t="s">
        <v>42</v>
      </c>
    </row>
    <row r="3" spans="1:11" x14ac:dyDescent="0.25">
      <c r="A3" s="8">
        <v>5001</v>
      </c>
      <c r="B3" s="8" t="s">
        <v>9</v>
      </c>
      <c r="C3" s="8" t="s">
        <v>19</v>
      </c>
      <c r="D3" s="8" t="s">
        <v>22</v>
      </c>
      <c r="E3" s="8" t="s">
        <v>32</v>
      </c>
      <c r="F3" s="8">
        <v>1</v>
      </c>
      <c r="G3" s="9">
        <v>900</v>
      </c>
      <c r="H3" s="9">
        <v>300</v>
      </c>
      <c r="I3" s="10">
        <v>600</v>
      </c>
      <c r="J3" s="11">
        <v>44941</v>
      </c>
      <c r="K3" s="12" t="s">
        <v>42</v>
      </c>
    </row>
    <row r="4" spans="1:11" x14ac:dyDescent="0.25">
      <c r="A4" s="8">
        <v>5002</v>
      </c>
      <c r="B4" s="8" t="s">
        <v>10</v>
      </c>
      <c r="C4" s="8" t="s">
        <v>36</v>
      </c>
      <c r="D4" s="8" t="s">
        <v>23</v>
      </c>
      <c r="E4" s="8" t="s">
        <v>31</v>
      </c>
      <c r="F4" s="8">
        <v>5</v>
      </c>
      <c r="G4" s="9">
        <v>1600</v>
      </c>
      <c r="H4" s="9">
        <v>1000</v>
      </c>
      <c r="I4" s="10">
        <v>600</v>
      </c>
      <c r="J4" s="11">
        <v>44959</v>
      </c>
      <c r="K4" s="12" t="s">
        <v>43</v>
      </c>
    </row>
    <row r="5" spans="1:11" x14ac:dyDescent="0.25">
      <c r="A5" s="8">
        <v>5002</v>
      </c>
      <c r="B5" s="8" t="s">
        <v>10</v>
      </c>
      <c r="C5" s="8" t="s">
        <v>19</v>
      </c>
      <c r="D5" s="8" t="s">
        <v>24</v>
      </c>
      <c r="E5" s="8" t="s">
        <v>33</v>
      </c>
      <c r="F5" s="8">
        <v>2</v>
      </c>
      <c r="G5" s="9">
        <v>3600</v>
      </c>
      <c r="H5" s="9">
        <v>800</v>
      </c>
      <c r="I5" s="10">
        <v>2800</v>
      </c>
      <c r="J5" s="11">
        <v>44959</v>
      </c>
      <c r="K5" s="12" t="s">
        <v>43</v>
      </c>
    </row>
    <row r="6" spans="1:11" x14ac:dyDescent="0.25">
      <c r="A6" s="8">
        <v>5003</v>
      </c>
      <c r="B6" s="8" t="s">
        <v>11</v>
      </c>
      <c r="C6" s="8" t="s">
        <v>19</v>
      </c>
      <c r="D6" s="8" t="s">
        <v>25</v>
      </c>
      <c r="E6" s="8" t="s">
        <v>33</v>
      </c>
      <c r="F6" s="8">
        <v>1</v>
      </c>
      <c r="G6" s="9">
        <v>2400</v>
      </c>
      <c r="H6" s="9">
        <v>500</v>
      </c>
      <c r="I6" s="10">
        <v>1900</v>
      </c>
      <c r="J6" s="11">
        <v>44996</v>
      </c>
      <c r="K6" s="12" t="s">
        <v>44</v>
      </c>
    </row>
    <row r="7" spans="1:11" x14ac:dyDescent="0.25">
      <c r="A7" s="8">
        <v>5003</v>
      </c>
      <c r="B7" s="8" t="s">
        <v>11</v>
      </c>
      <c r="C7" s="8" t="s">
        <v>36</v>
      </c>
      <c r="D7" s="8" t="s">
        <v>26</v>
      </c>
      <c r="E7" s="8" t="s">
        <v>32</v>
      </c>
      <c r="F7" s="8">
        <v>4</v>
      </c>
      <c r="G7" s="9">
        <v>480</v>
      </c>
      <c r="H7" s="9">
        <v>80</v>
      </c>
      <c r="I7" s="10">
        <v>400</v>
      </c>
      <c r="J7" s="11">
        <v>44996</v>
      </c>
      <c r="K7" s="12" t="s">
        <v>44</v>
      </c>
    </row>
    <row r="8" spans="1:11" x14ac:dyDescent="0.25">
      <c r="A8" s="8">
        <v>5004</v>
      </c>
      <c r="B8" s="8" t="s">
        <v>12</v>
      </c>
      <c r="C8" s="8" t="s">
        <v>20</v>
      </c>
      <c r="D8" s="8" t="s">
        <v>21</v>
      </c>
      <c r="E8" s="8" t="s">
        <v>31</v>
      </c>
      <c r="F8" s="8">
        <v>2</v>
      </c>
      <c r="G8" s="9">
        <v>2900</v>
      </c>
      <c r="H8" s="9">
        <v>2000</v>
      </c>
      <c r="I8" s="10">
        <v>900</v>
      </c>
      <c r="J8" s="11">
        <v>45065</v>
      </c>
      <c r="K8" s="12" t="s">
        <v>45</v>
      </c>
    </row>
    <row r="9" spans="1:11" x14ac:dyDescent="0.25">
      <c r="A9" s="8">
        <v>5004</v>
      </c>
      <c r="B9" s="8" t="s">
        <v>12</v>
      </c>
      <c r="C9" s="8" t="s">
        <v>20</v>
      </c>
      <c r="D9" s="8" t="s">
        <v>22</v>
      </c>
      <c r="E9" s="8" t="s">
        <v>32</v>
      </c>
      <c r="F9" s="8">
        <v>2</v>
      </c>
      <c r="G9" s="9">
        <v>1800</v>
      </c>
      <c r="H9" s="9">
        <v>600</v>
      </c>
      <c r="I9" s="10">
        <v>1200</v>
      </c>
      <c r="J9" s="11">
        <v>45065</v>
      </c>
      <c r="K9" s="12" t="s">
        <v>45</v>
      </c>
    </row>
    <row r="10" spans="1:11" x14ac:dyDescent="0.25">
      <c r="A10" s="8">
        <v>5005</v>
      </c>
      <c r="B10" s="8" t="s">
        <v>13</v>
      </c>
      <c r="C10" s="8" t="s">
        <v>20</v>
      </c>
      <c r="D10" s="8" t="s">
        <v>24</v>
      </c>
      <c r="E10" s="8" t="s">
        <v>33</v>
      </c>
      <c r="F10" s="8">
        <v>3</v>
      </c>
      <c r="G10" s="9">
        <v>5400</v>
      </c>
      <c r="H10" s="9">
        <v>1200</v>
      </c>
      <c r="I10" s="10">
        <v>4200</v>
      </c>
      <c r="J10" s="11">
        <v>45084</v>
      </c>
      <c r="K10" s="12" t="s">
        <v>47</v>
      </c>
    </row>
    <row r="11" spans="1:11" x14ac:dyDescent="0.25">
      <c r="A11" s="8">
        <v>5005</v>
      </c>
      <c r="B11" s="8" t="s">
        <v>13</v>
      </c>
      <c r="C11" s="8" t="s">
        <v>20</v>
      </c>
      <c r="D11" s="8" t="s">
        <v>27</v>
      </c>
      <c r="E11" s="8" t="s">
        <v>33</v>
      </c>
      <c r="F11" s="8">
        <v>5</v>
      </c>
      <c r="G11" s="9">
        <v>1750</v>
      </c>
      <c r="H11" s="9">
        <v>250</v>
      </c>
      <c r="I11" s="10">
        <v>1500</v>
      </c>
      <c r="J11" s="11">
        <v>45084</v>
      </c>
      <c r="K11" s="12" t="s">
        <v>47</v>
      </c>
    </row>
    <row r="12" spans="1:11" x14ac:dyDescent="0.25">
      <c r="A12" s="8">
        <v>5006</v>
      </c>
      <c r="B12" s="8" t="s">
        <v>14</v>
      </c>
      <c r="C12" s="8" t="s">
        <v>34</v>
      </c>
      <c r="D12" s="8" t="s">
        <v>28</v>
      </c>
      <c r="E12" s="8" t="s">
        <v>31</v>
      </c>
      <c r="F12" s="8">
        <v>4</v>
      </c>
      <c r="G12" s="9">
        <v>3920</v>
      </c>
      <c r="H12" s="9">
        <v>2600</v>
      </c>
      <c r="I12" s="10">
        <v>1320</v>
      </c>
      <c r="J12" s="11">
        <v>45129</v>
      </c>
      <c r="K12" s="12" t="s">
        <v>46</v>
      </c>
    </row>
    <row r="13" spans="1:11" x14ac:dyDescent="0.25">
      <c r="A13" s="8">
        <v>5006</v>
      </c>
      <c r="B13" s="8" t="s">
        <v>14</v>
      </c>
      <c r="C13" s="8" t="s">
        <v>34</v>
      </c>
      <c r="D13" s="8" t="s">
        <v>26</v>
      </c>
      <c r="E13" s="8" t="s">
        <v>32</v>
      </c>
      <c r="F13" s="8">
        <v>3</v>
      </c>
      <c r="G13" s="9">
        <v>360</v>
      </c>
      <c r="H13" s="9">
        <v>60</v>
      </c>
      <c r="I13" s="10">
        <v>300</v>
      </c>
      <c r="J13" s="11">
        <v>45129</v>
      </c>
      <c r="K13" s="12" t="s">
        <v>46</v>
      </c>
    </row>
    <row r="14" spans="1:11" x14ac:dyDescent="0.25">
      <c r="A14" s="8">
        <v>5007</v>
      </c>
      <c r="B14" s="8" t="s">
        <v>15</v>
      </c>
      <c r="C14" s="8" t="s">
        <v>34</v>
      </c>
      <c r="D14" s="8" t="s">
        <v>21</v>
      </c>
      <c r="E14" s="8" t="s">
        <v>31</v>
      </c>
      <c r="F14" s="8">
        <v>1</v>
      </c>
      <c r="G14" s="9">
        <v>1450</v>
      </c>
      <c r="H14" s="9">
        <v>1000</v>
      </c>
      <c r="I14" s="10">
        <v>450</v>
      </c>
      <c r="J14" s="11">
        <v>45153</v>
      </c>
      <c r="K14" s="12" t="s">
        <v>48</v>
      </c>
    </row>
    <row r="15" spans="1:11" x14ac:dyDescent="0.25">
      <c r="A15" s="8">
        <v>5007</v>
      </c>
      <c r="B15" s="8" t="s">
        <v>15</v>
      </c>
      <c r="C15" s="8" t="s">
        <v>19</v>
      </c>
      <c r="D15" s="8" t="s">
        <v>29</v>
      </c>
      <c r="E15" s="8" t="s">
        <v>31</v>
      </c>
      <c r="F15" s="8">
        <v>2</v>
      </c>
      <c r="G15" s="9">
        <v>400</v>
      </c>
      <c r="H15" s="9">
        <v>240</v>
      </c>
      <c r="I15" s="10">
        <v>160</v>
      </c>
      <c r="J15" s="11">
        <v>45153</v>
      </c>
      <c r="K15" s="12" t="s">
        <v>48</v>
      </c>
    </row>
    <row r="16" spans="1:11" x14ac:dyDescent="0.25">
      <c r="A16" s="8">
        <v>5008</v>
      </c>
      <c r="B16" s="8" t="s">
        <v>16</v>
      </c>
      <c r="C16" s="8" t="s">
        <v>20</v>
      </c>
      <c r="D16" s="8" t="s">
        <v>23</v>
      </c>
      <c r="E16" s="8" t="s">
        <v>31</v>
      </c>
      <c r="F16" s="8">
        <v>2</v>
      </c>
      <c r="G16" s="9">
        <v>640</v>
      </c>
      <c r="H16" s="9">
        <v>400</v>
      </c>
      <c r="I16" s="10">
        <v>240</v>
      </c>
      <c r="J16" s="11">
        <v>45174</v>
      </c>
      <c r="K16" s="12" t="s">
        <v>49</v>
      </c>
    </row>
    <row r="17" spans="1:11" x14ac:dyDescent="0.25">
      <c r="A17" s="8">
        <v>5008</v>
      </c>
      <c r="B17" s="8" t="s">
        <v>16</v>
      </c>
      <c r="C17" s="8" t="s">
        <v>20</v>
      </c>
      <c r="D17" s="8" t="s">
        <v>22</v>
      </c>
      <c r="E17" s="8" t="s">
        <v>32</v>
      </c>
      <c r="F17" s="8">
        <v>1</v>
      </c>
      <c r="G17" s="9">
        <v>900</v>
      </c>
      <c r="H17" s="9">
        <v>300</v>
      </c>
      <c r="I17" s="10">
        <v>600</v>
      </c>
      <c r="J17" s="11">
        <v>45174</v>
      </c>
      <c r="K17" s="12" t="s">
        <v>49</v>
      </c>
    </row>
    <row r="18" spans="1:11" x14ac:dyDescent="0.25">
      <c r="A18" s="8">
        <v>5009</v>
      </c>
      <c r="B18" s="8" t="s">
        <v>17</v>
      </c>
      <c r="C18" s="8" t="s">
        <v>19</v>
      </c>
      <c r="D18" s="8" t="s">
        <v>25</v>
      </c>
      <c r="E18" s="8" t="s">
        <v>33</v>
      </c>
      <c r="F18" s="8">
        <v>2</v>
      </c>
      <c r="G18" s="9">
        <v>4800</v>
      </c>
      <c r="H18" s="9">
        <v>1000</v>
      </c>
      <c r="I18" s="10">
        <v>3800</v>
      </c>
      <c r="J18" s="11">
        <v>45211</v>
      </c>
      <c r="K18" s="12" t="s">
        <v>50</v>
      </c>
    </row>
    <row r="19" spans="1:11" x14ac:dyDescent="0.25">
      <c r="A19" s="8">
        <v>5009</v>
      </c>
      <c r="B19" s="8" t="s">
        <v>17</v>
      </c>
      <c r="C19" s="8" t="s">
        <v>35</v>
      </c>
      <c r="D19" s="8" t="s">
        <v>30</v>
      </c>
      <c r="E19" s="8" t="s">
        <v>32</v>
      </c>
      <c r="F19" s="8">
        <v>1</v>
      </c>
      <c r="G19" s="9">
        <v>500</v>
      </c>
      <c r="H19" s="9">
        <v>200</v>
      </c>
      <c r="I19" s="10">
        <v>300</v>
      </c>
      <c r="J19" s="11">
        <v>45211</v>
      </c>
      <c r="K19" s="12" t="s">
        <v>50</v>
      </c>
    </row>
    <row r="20" spans="1:11" x14ac:dyDescent="0.25">
      <c r="A20" s="8">
        <v>5010</v>
      </c>
      <c r="B20" s="8" t="s">
        <v>18</v>
      </c>
      <c r="C20" s="8" t="s">
        <v>35</v>
      </c>
      <c r="D20" s="8" t="s">
        <v>21</v>
      </c>
      <c r="E20" s="8" t="s">
        <v>31</v>
      </c>
      <c r="F20" s="8">
        <v>3</v>
      </c>
      <c r="G20" s="9">
        <v>4350</v>
      </c>
      <c r="H20" s="9">
        <v>3000</v>
      </c>
      <c r="I20" s="10">
        <v>1350</v>
      </c>
      <c r="J20" s="11">
        <v>45250</v>
      </c>
      <c r="K20" s="12" t="s">
        <v>51</v>
      </c>
    </row>
    <row r="21" spans="1:11" x14ac:dyDescent="0.25">
      <c r="A21" s="8">
        <v>5011</v>
      </c>
      <c r="B21" s="8" t="s">
        <v>18</v>
      </c>
      <c r="C21" s="8" t="s">
        <v>35</v>
      </c>
      <c r="D21" s="8" t="s">
        <v>27</v>
      </c>
      <c r="E21" s="8" t="s">
        <v>33</v>
      </c>
      <c r="F21" s="8">
        <v>2</v>
      </c>
      <c r="G21" s="9">
        <v>700</v>
      </c>
      <c r="H21" s="9">
        <v>100</v>
      </c>
      <c r="I21" s="10">
        <v>600</v>
      </c>
      <c r="J21" s="11">
        <v>45250</v>
      </c>
      <c r="K21" s="12" t="s">
        <v>51</v>
      </c>
    </row>
    <row r="22" spans="1:11" x14ac:dyDescent="0.25">
      <c r="G22" s="2"/>
      <c r="H22" s="2"/>
      <c r="I22" s="2"/>
      <c r="J22" s="1"/>
      <c r="K22" s="5"/>
    </row>
    <row r="23" spans="1:11" x14ac:dyDescent="0.25">
      <c r="G23" s="2"/>
      <c r="H23" s="2"/>
      <c r="I23" s="2"/>
      <c r="J23" s="1"/>
      <c r="K23" s="5"/>
    </row>
    <row r="24" spans="1:11" ht="14.4" customHeight="1" x14ac:dyDescent="0.25">
      <c r="G24" s="2"/>
      <c r="H24" s="2"/>
      <c r="I24" s="2"/>
      <c r="J24" s="1"/>
      <c r="K24" s="5"/>
    </row>
    <row r="25" spans="1:11" x14ac:dyDescent="0.25">
      <c r="G25" s="2"/>
      <c r="H25" s="2"/>
      <c r="I25" s="2"/>
      <c r="J25" s="1"/>
      <c r="K25" s="5"/>
    </row>
    <row r="26" spans="1:11" x14ac:dyDescent="0.25">
      <c r="G26" s="2"/>
      <c r="H26" s="2"/>
      <c r="I26" s="2"/>
      <c r="J26" s="1"/>
      <c r="K26" s="5"/>
    </row>
    <row r="27" spans="1:11" x14ac:dyDescent="0.25">
      <c r="G27" s="2"/>
      <c r="H27" s="2"/>
      <c r="I27" s="2"/>
      <c r="J27" s="1"/>
      <c r="K27" s="5"/>
    </row>
    <row r="28" spans="1:11" x14ac:dyDescent="0.25">
      <c r="G28" s="2"/>
      <c r="H28" s="2"/>
      <c r="I28" s="2"/>
      <c r="J28" s="1"/>
      <c r="K28" s="5"/>
    </row>
    <row r="29" spans="1:11" x14ac:dyDescent="0.25">
      <c r="G29" s="2"/>
      <c r="H29" s="2"/>
      <c r="I29" s="2"/>
      <c r="J29" s="1"/>
      <c r="K29" s="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09C8D-23E1-4455-9E3C-2F7686416F9A}">
  <dimension ref="A3:L10"/>
  <sheetViews>
    <sheetView workbookViewId="0">
      <selection activeCell="I25" sqref="I25"/>
    </sheetView>
  </sheetViews>
  <sheetFormatPr defaultRowHeight="13.8" x14ac:dyDescent="0.25"/>
  <cols>
    <col min="1" max="1" width="15" customWidth="1"/>
    <col min="2" max="2" width="18" bestFit="1" customWidth="1"/>
    <col min="3" max="3" width="17.69921875" bestFit="1" customWidth="1"/>
    <col min="4" max="4" width="13.3984375" bestFit="1" customWidth="1"/>
    <col min="5" max="5" width="12" bestFit="1" customWidth="1"/>
    <col min="6" max="6" width="15.59765625" bestFit="1" customWidth="1"/>
    <col min="7" max="7" width="15.5" bestFit="1" customWidth="1"/>
    <col min="8" max="8" width="15.19921875" bestFit="1" customWidth="1"/>
    <col min="9" max="9" width="13.19921875" bestFit="1" customWidth="1"/>
    <col min="10" max="10" width="11.19921875" bestFit="1" customWidth="1"/>
    <col min="11" max="11" width="15.19921875" bestFit="1" customWidth="1"/>
    <col min="12" max="12" width="11.8984375" bestFit="1" customWidth="1"/>
  </cols>
  <sheetData>
    <row r="3" spans="1:12" x14ac:dyDescent="0.25">
      <c r="A3" s="3" t="s">
        <v>40</v>
      </c>
      <c r="B3" s="3" t="s">
        <v>39</v>
      </c>
    </row>
    <row r="4" spans="1:12" x14ac:dyDescent="0.25">
      <c r="A4" s="3" t="s">
        <v>37</v>
      </c>
      <c r="B4" t="s">
        <v>27</v>
      </c>
      <c r="C4" t="s">
        <v>26</v>
      </c>
      <c r="D4" t="s">
        <v>24</v>
      </c>
      <c r="E4" t="s">
        <v>25</v>
      </c>
      <c r="F4" t="s">
        <v>22</v>
      </c>
      <c r="G4" t="s">
        <v>30</v>
      </c>
      <c r="H4" t="s">
        <v>28</v>
      </c>
      <c r="I4" t="s">
        <v>21</v>
      </c>
      <c r="J4" t="s">
        <v>23</v>
      </c>
      <c r="K4" t="s">
        <v>29</v>
      </c>
      <c r="L4" t="s">
        <v>38</v>
      </c>
    </row>
    <row r="5" spans="1:12" x14ac:dyDescent="0.25">
      <c r="A5" s="4" t="s">
        <v>19</v>
      </c>
      <c r="B5" s="2"/>
      <c r="C5" s="2"/>
      <c r="D5" s="2">
        <v>2800</v>
      </c>
      <c r="E5" s="2">
        <v>5700</v>
      </c>
      <c r="F5" s="2">
        <v>600</v>
      </c>
      <c r="G5" s="2"/>
      <c r="H5" s="2"/>
      <c r="I5" s="2">
        <v>1350</v>
      </c>
      <c r="J5" s="2"/>
      <c r="K5" s="2">
        <v>160</v>
      </c>
      <c r="L5" s="2">
        <v>10610</v>
      </c>
    </row>
    <row r="6" spans="1:12" x14ac:dyDescent="0.25">
      <c r="A6" s="4" t="s">
        <v>20</v>
      </c>
      <c r="B6" s="2">
        <v>1500</v>
      </c>
      <c r="C6" s="2"/>
      <c r="D6" s="2">
        <v>4200</v>
      </c>
      <c r="E6" s="2"/>
      <c r="F6" s="2">
        <v>1800</v>
      </c>
      <c r="G6" s="2"/>
      <c r="H6" s="2"/>
      <c r="I6" s="2">
        <v>900</v>
      </c>
      <c r="J6" s="2">
        <v>240</v>
      </c>
      <c r="K6" s="2"/>
      <c r="L6" s="2">
        <v>8640</v>
      </c>
    </row>
    <row r="7" spans="1:12" x14ac:dyDescent="0.25">
      <c r="A7" s="4" t="s">
        <v>35</v>
      </c>
      <c r="B7" s="2">
        <v>600</v>
      </c>
      <c r="C7" s="2"/>
      <c r="D7" s="2"/>
      <c r="E7" s="2"/>
      <c r="F7" s="2"/>
      <c r="G7" s="2">
        <v>300</v>
      </c>
      <c r="H7" s="2"/>
      <c r="I7" s="2">
        <v>1350</v>
      </c>
      <c r="J7" s="2"/>
      <c r="K7" s="2"/>
      <c r="L7" s="2">
        <v>2250</v>
      </c>
    </row>
    <row r="8" spans="1:12" x14ac:dyDescent="0.25">
      <c r="A8" s="4" t="s">
        <v>34</v>
      </c>
      <c r="B8" s="2"/>
      <c r="C8" s="2">
        <v>300</v>
      </c>
      <c r="D8" s="2"/>
      <c r="E8" s="2"/>
      <c r="F8" s="2"/>
      <c r="G8" s="2"/>
      <c r="H8" s="2">
        <v>1320</v>
      </c>
      <c r="I8" s="2">
        <v>450</v>
      </c>
      <c r="J8" s="2"/>
      <c r="K8" s="2"/>
      <c r="L8" s="2">
        <v>2070</v>
      </c>
    </row>
    <row r="9" spans="1:12" x14ac:dyDescent="0.25">
      <c r="A9" s="4" t="s">
        <v>36</v>
      </c>
      <c r="B9" s="2"/>
      <c r="C9" s="2">
        <v>400</v>
      </c>
      <c r="D9" s="2"/>
      <c r="E9" s="2"/>
      <c r="F9" s="2"/>
      <c r="G9" s="2"/>
      <c r="H9" s="2"/>
      <c r="I9" s="2"/>
      <c r="J9" s="2">
        <v>600</v>
      </c>
      <c r="K9" s="2"/>
      <c r="L9" s="2">
        <v>1000</v>
      </c>
    </row>
    <row r="10" spans="1:12" x14ac:dyDescent="0.25">
      <c r="A10" s="4" t="s">
        <v>38</v>
      </c>
      <c r="B10" s="2">
        <v>2100</v>
      </c>
      <c r="C10" s="2">
        <v>700</v>
      </c>
      <c r="D10" s="2">
        <v>7000</v>
      </c>
      <c r="E10" s="2">
        <v>5700</v>
      </c>
      <c r="F10" s="2">
        <v>2400</v>
      </c>
      <c r="G10" s="2">
        <v>300</v>
      </c>
      <c r="H10" s="2">
        <v>1320</v>
      </c>
      <c r="I10" s="2">
        <v>4050</v>
      </c>
      <c r="J10" s="2">
        <v>840</v>
      </c>
      <c r="K10" s="2">
        <v>160</v>
      </c>
      <c r="L10" s="2">
        <v>24570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4EBC-D450-46D8-A9EF-6482078E6A41}">
  <dimension ref="A3:B14"/>
  <sheetViews>
    <sheetView workbookViewId="0">
      <selection activeCell="I25" sqref="I25"/>
    </sheetView>
  </sheetViews>
  <sheetFormatPr defaultRowHeight="13.8" x14ac:dyDescent="0.25"/>
  <cols>
    <col min="1" max="1" width="13.09765625" bestFit="1" customWidth="1"/>
    <col min="2" max="2" width="16.19921875" bestFit="1" customWidth="1"/>
    <col min="3" max="3" width="16.09765625" customWidth="1"/>
  </cols>
  <sheetData>
    <row r="3" spans="1:2" x14ac:dyDescent="0.25">
      <c r="A3" s="3" t="s">
        <v>37</v>
      </c>
      <c r="B3" t="s">
        <v>62</v>
      </c>
    </row>
    <row r="4" spans="1:2" x14ac:dyDescent="0.25">
      <c r="A4" s="4" t="s">
        <v>52</v>
      </c>
      <c r="B4">
        <v>4</v>
      </c>
    </row>
    <row r="5" spans="1:2" x14ac:dyDescent="0.25">
      <c r="A5" s="4" t="s">
        <v>53</v>
      </c>
      <c r="B5">
        <v>7</v>
      </c>
    </row>
    <row r="6" spans="1:2" x14ac:dyDescent="0.25">
      <c r="A6" s="4" t="s">
        <v>54</v>
      </c>
      <c r="B6">
        <v>5</v>
      </c>
    </row>
    <row r="7" spans="1:2" x14ac:dyDescent="0.25">
      <c r="A7" s="4" t="s">
        <v>55</v>
      </c>
      <c r="B7">
        <v>4</v>
      </c>
    </row>
    <row r="8" spans="1:2" x14ac:dyDescent="0.25">
      <c r="A8" s="4" t="s">
        <v>56</v>
      </c>
      <c r="B8">
        <v>8</v>
      </c>
    </row>
    <row r="9" spans="1:2" x14ac:dyDescent="0.25">
      <c r="A9" s="4" t="s">
        <v>57</v>
      </c>
      <c r="B9">
        <v>7</v>
      </c>
    </row>
    <row r="10" spans="1:2" x14ac:dyDescent="0.25">
      <c r="A10" s="4" t="s">
        <v>58</v>
      </c>
      <c r="B10">
        <v>3</v>
      </c>
    </row>
    <row r="11" spans="1:2" x14ac:dyDescent="0.25">
      <c r="A11" s="4" t="s">
        <v>59</v>
      </c>
      <c r="B11">
        <v>3</v>
      </c>
    </row>
    <row r="12" spans="1:2" x14ac:dyDescent="0.25">
      <c r="A12" s="4" t="s">
        <v>60</v>
      </c>
      <c r="B12">
        <v>3</v>
      </c>
    </row>
    <row r="13" spans="1:2" x14ac:dyDescent="0.25">
      <c r="A13" s="4" t="s">
        <v>61</v>
      </c>
      <c r="B13">
        <v>5</v>
      </c>
    </row>
    <row r="14" spans="1:2" x14ac:dyDescent="0.25">
      <c r="A14" s="4" t="s">
        <v>38</v>
      </c>
      <c r="B14">
        <v>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BE6EA-8768-4BE1-8A12-3727C0E72D93}">
  <dimension ref="A3:B14"/>
  <sheetViews>
    <sheetView workbookViewId="0">
      <selection activeCell="I25" sqref="I25"/>
    </sheetView>
  </sheetViews>
  <sheetFormatPr defaultRowHeight="13.8" x14ac:dyDescent="0.25"/>
  <cols>
    <col min="1" max="1" width="13.09765625" bestFit="1" customWidth="1"/>
    <col min="2" max="2" width="15" customWidth="1"/>
  </cols>
  <sheetData>
    <row r="3" spans="1:2" x14ac:dyDescent="0.25">
      <c r="A3" s="3" t="s">
        <v>37</v>
      </c>
      <c r="B3" t="s">
        <v>40</v>
      </c>
    </row>
    <row r="4" spans="1:2" x14ac:dyDescent="0.25">
      <c r="A4" s="4" t="s">
        <v>52</v>
      </c>
      <c r="B4" s="2">
        <v>1950</v>
      </c>
    </row>
    <row r="5" spans="1:2" x14ac:dyDescent="0.25">
      <c r="A5" s="4" t="s">
        <v>53</v>
      </c>
      <c r="B5" s="2">
        <v>3400</v>
      </c>
    </row>
    <row r="6" spans="1:2" x14ac:dyDescent="0.25">
      <c r="A6" s="4" t="s">
        <v>54</v>
      </c>
      <c r="B6" s="2">
        <v>2300</v>
      </c>
    </row>
    <row r="7" spans="1:2" x14ac:dyDescent="0.25">
      <c r="A7" s="4" t="s">
        <v>55</v>
      </c>
      <c r="B7" s="2">
        <v>2100</v>
      </c>
    </row>
    <row r="8" spans="1:2" x14ac:dyDescent="0.25">
      <c r="A8" s="4" t="s">
        <v>56</v>
      </c>
      <c r="B8" s="2">
        <v>5700</v>
      </c>
    </row>
    <row r="9" spans="1:2" x14ac:dyDescent="0.25">
      <c r="A9" s="4" t="s">
        <v>57</v>
      </c>
      <c r="B9" s="2">
        <v>1620</v>
      </c>
    </row>
    <row r="10" spans="1:2" x14ac:dyDescent="0.25">
      <c r="A10" s="4" t="s">
        <v>58</v>
      </c>
      <c r="B10" s="2">
        <v>610</v>
      </c>
    </row>
    <row r="11" spans="1:2" x14ac:dyDescent="0.25">
      <c r="A11" s="4" t="s">
        <v>59</v>
      </c>
      <c r="B11" s="2">
        <v>840</v>
      </c>
    </row>
    <row r="12" spans="1:2" x14ac:dyDescent="0.25">
      <c r="A12" s="4" t="s">
        <v>60</v>
      </c>
      <c r="B12" s="2">
        <v>4100</v>
      </c>
    </row>
    <row r="13" spans="1:2" x14ac:dyDescent="0.25">
      <c r="A13" s="4" t="s">
        <v>61</v>
      </c>
      <c r="B13" s="2">
        <v>1950</v>
      </c>
    </row>
    <row r="14" spans="1:2" x14ac:dyDescent="0.25">
      <c r="A14" s="4" t="s">
        <v>38</v>
      </c>
      <c r="B14" s="2">
        <v>24570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Dashboard</vt:lpstr>
      <vt:lpstr>Data</vt:lpstr>
      <vt:lpstr>Profit by Market &amp; Product</vt:lpstr>
      <vt:lpstr>Units sold each month</vt:lpstr>
      <vt:lpstr>Profit by 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 Zupicic</dc:creator>
  <cp:lastModifiedBy>Nikola Zupičić</cp:lastModifiedBy>
  <dcterms:created xsi:type="dcterms:W3CDTF">2025-12-16T15:04:27Z</dcterms:created>
  <dcterms:modified xsi:type="dcterms:W3CDTF">2025-12-16T17:51:41Z</dcterms:modified>
</cp:coreProperties>
</file>